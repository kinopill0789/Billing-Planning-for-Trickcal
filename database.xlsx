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op\Documents\Billing-Planning-for-Trickcal\"/>
    </mc:Choice>
  </mc:AlternateContent>
  <xr:revisionPtr revIDLastSave="0" documentId="13_ncr:1_{2FEB7F55-DDE3-4C59-9A11-582EABD06086}" xr6:coauthVersionLast="47" xr6:coauthVersionMax="47" xr10:uidLastSave="{00000000-0000-0000-0000-000000000000}"/>
  <bookViews>
    <workbookView xWindow="-98" yWindow="-98" windowWidth="21795" windowHeight="12975" xr2:uid="{0E240044-467D-4804-AB3F-8E98DCC96A0D}"/>
  </bookViews>
  <sheets>
    <sheet name="特別構成商品" sheetId="1" r:id="rId1"/>
    <sheet name="エリーフショップ" sheetId="2" r:id="rId2"/>
    <sheet name="月間パス" sheetId="3" r:id="rId3"/>
    <sheet name="エリーフ商品" sheetId="4" r:id="rId4"/>
    <sheet name="週間パック" sheetId="5" r:id="rId5"/>
    <sheet name="月間パック" sheetId="6" r:id="rId6"/>
    <sheet name="私服・探検パス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5" i="7" l="1"/>
  <c r="K5" i="7"/>
  <c r="I5" i="7"/>
  <c r="G5" i="7"/>
  <c r="F6" i="3"/>
  <c r="T7" i="3"/>
  <c r="T8" i="3"/>
  <c r="G5" i="3"/>
  <c r="F5" i="3"/>
</calcChain>
</file>

<file path=xl/sharedStrings.xml><?xml version="1.0" encoding="utf-8"?>
<sst xmlns="http://schemas.openxmlformats.org/spreadsheetml/2006/main" count="736" uniqueCount="204">
  <si>
    <t>商品名</t>
    <rPh sb="0" eb="3">
      <t>ショウヒンメイ</t>
    </rPh>
    <phoneticPr fontId="1"/>
  </si>
  <si>
    <t>エリーフ</t>
    <phoneticPr fontId="1"/>
  </si>
  <si>
    <t>その他チケ</t>
    <rPh sb="2" eb="3">
      <t>タ</t>
    </rPh>
    <phoneticPr fontId="1"/>
  </si>
  <si>
    <t>キャンディ</t>
    <phoneticPr fontId="1"/>
  </si>
  <si>
    <t>価格(yen)</t>
    <rPh sb="0" eb="2">
      <t>カカク</t>
    </rPh>
    <phoneticPr fontId="1"/>
  </si>
  <si>
    <t>新人教主用星３使徒選択チケット</t>
    <rPh sb="0" eb="2">
      <t>シンジン</t>
    </rPh>
    <rPh sb="2" eb="4">
      <t>キョウシュ</t>
    </rPh>
    <rPh sb="4" eb="5">
      <t>ヨウ</t>
    </rPh>
    <rPh sb="5" eb="6">
      <t>ホシ</t>
    </rPh>
    <rPh sb="7" eb="9">
      <t>シト</t>
    </rPh>
    <rPh sb="9" eb="11">
      <t>センタク</t>
    </rPh>
    <phoneticPr fontId="1"/>
  </si>
  <si>
    <t>新人教主用エリーフいっぱいパック</t>
    <rPh sb="0" eb="4">
      <t>シンジンキョウシュ</t>
    </rPh>
    <rPh sb="4" eb="5">
      <t>ヨウ</t>
    </rPh>
    <phoneticPr fontId="1"/>
  </si>
  <si>
    <t>新人教主用報酬いっぱいパック</t>
    <rPh sb="0" eb="4">
      <t>シンジンキョウシュ</t>
    </rPh>
    <rPh sb="4" eb="5">
      <t>ヨウ</t>
    </rPh>
    <rPh sb="5" eb="7">
      <t>ホウシュウ</t>
    </rPh>
    <phoneticPr fontId="1"/>
  </si>
  <si>
    <t>たっぷり私服コーデ箱</t>
    <phoneticPr fontId="1"/>
  </si>
  <si>
    <t>無料エリーフ</t>
    <rPh sb="0" eb="2">
      <t>ムリョウ</t>
    </rPh>
    <phoneticPr fontId="1"/>
  </si>
  <si>
    <t>有料エリーフ</t>
    <rPh sb="0" eb="2">
      <t>ユウリョウ</t>
    </rPh>
    <phoneticPr fontId="1"/>
  </si>
  <si>
    <t>★3超高級募集チケット</t>
    <rPh sb="2" eb="5">
      <t>チョウコウキュウ</t>
    </rPh>
    <rPh sb="5" eb="7">
      <t>ボシュウ</t>
    </rPh>
    <phoneticPr fontId="1"/>
  </si>
  <si>
    <t>装備の定石</t>
    <rPh sb="0" eb="2">
      <t>ソウビ</t>
    </rPh>
    <rPh sb="3" eb="5">
      <t>ジョウセキ</t>
    </rPh>
    <phoneticPr fontId="1"/>
  </si>
  <si>
    <t>スターキャンディー</t>
    <phoneticPr fontId="1"/>
  </si>
  <si>
    <t>使徒募集チケット</t>
    <rPh sb="0" eb="2">
      <t>シト</t>
    </rPh>
    <rPh sb="2" eb="4">
      <t>ボシュウ</t>
    </rPh>
    <phoneticPr fontId="1"/>
  </si>
  <si>
    <t>性格募集チケット</t>
    <rPh sb="0" eb="4">
      <t>セイカクボシュウ</t>
    </rPh>
    <phoneticPr fontId="1"/>
  </si>
  <si>
    <t>カードガチャチケット</t>
    <phoneticPr fontId="1"/>
  </si>
  <si>
    <t>特急くれよん</t>
    <rPh sb="0" eb="2">
      <t>トッキュウ</t>
    </rPh>
    <phoneticPr fontId="1"/>
  </si>
  <si>
    <t>新人教主用の使徒選択チケット</t>
    <rPh sb="0" eb="4">
      <t>シンジンキョウシュ</t>
    </rPh>
    <rPh sb="4" eb="5">
      <t>ヨウ</t>
    </rPh>
    <rPh sb="6" eb="10">
      <t>シトセンタク</t>
    </rPh>
    <phoneticPr fontId="1"/>
  </si>
  <si>
    <t>備考</t>
    <rPh sb="0" eb="2">
      <t>ビコウ</t>
    </rPh>
    <phoneticPr fontId="1"/>
  </si>
  <si>
    <t>エレナ/キャロット/スノキー/ネル/モモの内いずれか一人を選んで獲得（重複時、使徒証10枚）</t>
    <phoneticPr fontId="1"/>
  </si>
  <si>
    <t>その他</t>
    <rPh sb="2" eb="3">
      <t>タ</t>
    </rPh>
    <phoneticPr fontId="1"/>
  </si>
  <si>
    <t>※1000</t>
    <phoneticPr fontId="1"/>
  </si>
  <si>
    <t>1000エリーフは構成品の中から選ぶことで獲得可能</t>
    <rPh sb="9" eb="11">
      <t>コウセイ</t>
    </rPh>
    <rPh sb="11" eb="12">
      <t>ヒン</t>
    </rPh>
    <phoneticPr fontId="1"/>
  </si>
  <si>
    <t>エルダイン使徒合成カード</t>
    <rPh sb="5" eb="7">
      <t>シト</t>
    </rPh>
    <rPh sb="7" eb="9">
      <t>ゴウセイ</t>
    </rPh>
    <phoneticPr fontId="1"/>
  </si>
  <si>
    <t>スパビタ</t>
    <phoneticPr fontId="1"/>
  </si>
  <si>
    <t>商品情報</t>
    <rPh sb="0" eb="4">
      <t>ショウヒンジョウホウ</t>
    </rPh>
    <phoneticPr fontId="1"/>
  </si>
  <si>
    <t>ガチャチケット</t>
    <phoneticPr fontId="1"/>
  </si>
  <si>
    <t>使徒強化素材</t>
    <rPh sb="0" eb="2">
      <t>シト</t>
    </rPh>
    <rPh sb="2" eb="6">
      <t>キョウカソザイ</t>
    </rPh>
    <phoneticPr fontId="1"/>
  </si>
  <si>
    <t>料理</t>
    <rPh sb="0" eb="2">
      <t>リョウリ</t>
    </rPh>
    <phoneticPr fontId="1"/>
  </si>
  <si>
    <t>モカロン</t>
    <phoneticPr fontId="1"/>
  </si>
  <si>
    <t>シューカロン</t>
    <phoneticPr fontId="1"/>
  </si>
  <si>
    <t>装備セット</t>
    <rPh sb="0" eb="2">
      <t>ソウビ</t>
    </rPh>
    <phoneticPr fontId="1"/>
  </si>
  <si>
    <t>下級マシュマロ</t>
    <rPh sb="0" eb="2">
      <t>カキュウ</t>
    </rPh>
    <phoneticPr fontId="1"/>
  </si>
  <si>
    <t>上級マシュマロ</t>
    <rPh sb="0" eb="2">
      <t>ジョウキュウ</t>
    </rPh>
    <phoneticPr fontId="1"/>
  </si>
  <si>
    <t>中級マシュマロ</t>
    <rPh sb="0" eb="2">
      <t>チュウキュウ</t>
    </rPh>
    <phoneticPr fontId="1"/>
  </si>
  <si>
    <t>レベルアップ</t>
    <phoneticPr fontId="1"/>
  </si>
  <si>
    <t>もぐもぐビタミンC</t>
    <phoneticPr fontId="1"/>
  </si>
  <si>
    <t>教団証</t>
    <rPh sb="0" eb="2">
      <t>キョウダン</t>
    </rPh>
    <rPh sb="2" eb="3">
      <t>アカシ</t>
    </rPh>
    <phoneticPr fontId="1"/>
  </si>
  <si>
    <t>ヌウリングチケット</t>
    <phoneticPr fontId="1"/>
  </si>
  <si>
    <t>商品内容/特典</t>
    <rPh sb="0" eb="4">
      <t>ショウヒンナイヨウ</t>
    </rPh>
    <rPh sb="5" eb="7">
      <t>トクテン</t>
    </rPh>
    <phoneticPr fontId="1"/>
  </si>
  <si>
    <t>上級くれよん</t>
    <rPh sb="0" eb="2">
      <t>ジョウキュウ</t>
    </rPh>
    <phoneticPr fontId="1"/>
  </si>
  <si>
    <t>教団料理箱</t>
    <rPh sb="0" eb="5">
      <t>キョウダンリョウリバコ</t>
    </rPh>
    <phoneticPr fontId="1"/>
  </si>
  <si>
    <t>教団特製料理箱</t>
    <rPh sb="0" eb="2">
      <t>キョウダン</t>
    </rPh>
    <rPh sb="2" eb="4">
      <t>トクセイ</t>
    </rPh>
    <rPh sb="4" eb="6">
      <t>リョウリ</t>
    </rPh>
    <rPh sb="6" eb="7">
      <t>バコ</t>
    </rPh>
    <phoneticPr fontId="1"/>
  </si>
  <si>
    <t>アサイド関連</t>
    <rPh sb="4" eb="6">
      <t>カンレン</t>
    </rPh>
    <phoneticPr fontId="1"/>
  </si>
  <si>
    <t>くれよん類</t>
    <rPh sb="4" eb="5">
      <t>ルイ</t>
    </rPh>
    <phoneticPr fontId="1"/>
  </si>
  <si>
    <t>マシュマロ類</t>
    <rPh sb="5" eb="6">
      <t>ルイ</t>
    </rPh>
    <phoneticPr fontId="1"/>
  </si>
  <si>
    <t>装備関連</t>
    <rPh sb="0" eb="2">
      <t>ソウビ</t>
    </rPh>
    <rPh sb="2" eb="4">
      <t>カンレン</t>
    </rPh>
    <phoneticPr fontId="1"/>
  </si>
  <si>
    <t>教団周り</t>
    <rPh sb="0" eb="2">
      <t>キョウダン</t>
    </rPh>
    <rPh sb="2" eb="3">
      <t>マワ</t>
    </rPh>
    <phoneticPr fontId="1"/>
  </si>
  <si>
    <t>資材</t>
    <rPh sb="0" eb="2">
      <t>シザイ</t>
    </rPh>
    <phoneticPr fontId="1"/>
  </si>
  <si>
    <t>つんつんゼンマイ</t>
    <phoneticPr fontId="1"/>
  </si>
  <si>
    <t>柔らか金属</t>
    <rPh sb="0" eb="1">
      <t>ヤワ</t>
    </rPh>
    <rPh sb="3" eb="5">
      <t>キンゾク</t>
    </rPh>
    <phoneticPr fontId="1"/>
  </si>
  <si>
    <t>曲がった針金</t>
    <rPh sb="0" eb="1">
      <t>マ</t>
    </rPh>
    <rPh sb="4" eb="6">
      <t>ハリガネ</t>
    </rPh>
    <phoneticPr fontId="1"/>
  </si>
  <si>
    <t>地球から来た鉛</t>
    <rPh sb="0" eb="2">
      <t>チキュウ</t>
    </rPh>
    <rPh sb="4" eb="5">
      <t>キ</t>
    </rPh>
    <rPh sb="6" eb="7">
      <t>ナマリ</t>
    </rPh>
    <phoneticPr fontId="1"/>
  </si>
  <si>
    <t>バラバラの基盤</t>
    <rPh sb="5" eb="7">
      <t>キバン</t>
    </rPh>
    <phoneticPr fontId="1"/>
  </si>
  <si>
    <t>MUSIMチップ</t>
    <phoneticPr fontId="1"/>
  </si>
  <si>
    <t>バッテリーパック</t>
    <phoneticPr fontId="1"/>
  </si>
  <si>
    <t>S電子半導体</t>
    <rPh sb="1" eb="6">
      <t>デンシハンドウタイ</t>
    </rPh>
    <phoneticPr fontId="1"/>
  </si>
  <si>
    <t>パリパリの金箔</t>
    <rPh sb="5" eb="7">
      <t>キンパク</t>
    </rPh>
    <phoneticPr fontId="1"/>
  </si>
  <si>
    <t>サラサラの鉄粉</t>
    <rPh sb="5" eb="7">
      <t>テップン</t>
    </rPh>
    <phoneticPr fontId="1"/>
  </si>
  <si>
    <t>再生プラスチック</t>
    <rPh sb="0" eb="2">
      <t>サイセイ</t>
    </rPh>
    <phoneticPr fontId="1"/>
  </si>
  <si>
    <t>銅の匙</t>
    <rPh sb="0" eb="1">
      <t>ドウ</t>
    </rPh>
    <rPh sb="2" eb="3">
      <t>サジ</t>
    </rPh>
    <phoneticPr fontId="1"/>
  </si>
  <si>
    <t>R4,R5,R6,R7</t>
    <phoneticPr fontId="1"/>
  </si>
  <si>
    <t>ゴールド</t>
    <phoneticPr fontId="1"/>
  </si>
  <si>
    <t>徹夜アイマスク</t>
    <rPh sb="0" eb="2">
      <t>テツヤ</t>
    </rPh>
    <phoneticPr fontId="1"/>
  </si>
  <si>
    <t>2000K</t>
    <phoneticPr fontId="1"/>
  </si>
  <si>
    <t>R3,R4,R5,R6,R7,R8,R9</t>
    <phoneticPr fontId="1"/>
  </si>
  <si>
    <t>★3純粋の使徒ガチャチケット</t>
    <rPh sb="2" eb="4">
      <t>ジュンスイ</t>
    </rPh>
    <rPh sb="5" eb="7">
      <t>シト</t>
    </rPh>
    <phoneticPr fontId="1"/>
  </si>
  <si>
    <t>★3憂鬱の使徒ガチャチケット</t>
    <rPh sb="2" eb="4">
      <t>ユウウツ</t>
    </rPh>
    <rPh sb="5" eb="7">
      <t>シト</t>
    </rPh>
    <phoneticPr fontId="1"/>
  </si>
  <si>
    <t>使徒パック</t>
    <rPh sb="0" eb="2">
      <t>シト</t>
    </rPh>
    <phoneticPr fontId="1"/>
  </si>
  <si>
    <t>カードパック</t>
    <phoneticPr fontId="1"/>
  </si>
  <si>
    <t>価格(エリーフ)</t>
    <rPh sb="0" eb="2">
      <t>カカク</t>
    </rPh>
    <phoneticPr fontId="1"/>
  </si>
  <si>
    <t>よくできました!</t>
    <phoneticPr fontId="1"/>
  </si>
  <si>
    <t>ヌウリング狩りチケット</t>
    <rPh sb="5" eb="6">
      <t>ガ</t>
    </rPh>
    <phoneticPr fontId="1"/>
  </si>
  <si>
    <t>購入可能数</t>
    <rPh sb="0" eb="2">
      <t>コウニュウ</t>
    </rPh>
    <rPh sb="2" eb="4">
      <t>カノウ</t>
    </rPh>
    <rPh sb="4" eb="5">
      <t>スウ</t>
    </rPh>
    <phoneticPr fontId="1"/>
  </si>
  <si>
    <t>購入可能数</t>
    <rPh sb="0" eb="5">
      <t>コウニュウカノウスウ</t>
    </rPh>
    <phoneticPr fontId="1"/>
  </si>
  <si>
    <t>日/1回</t>
    <rPh sb="0" eb="1">
      <t>ヒ</t>
    </rPh>
    <rPh sb="3" eb="4">
      <t>カイ</t>
    </rPh>
    <phoneticPr fontId="1"/>
  </si>
  <si>
    <t>教団研究パック</t>
    <rPh sb="0" eb="4">
      <t>キョウダンケンキュウ</t>
    </rPh>
    <phoneticPr fontId="1"/>
  </si>
  <si>
    <t>日/4回</t>
    <rPh sb="0" eb="1">
      <t>ヒ</t>
    </rPh>
    <rPh sb="3" eb="4">
      <t>カイ</t>
    </rPh>
    <phoneticPr fontId="1"/>
  </si>
  <si>
    <t>モグモグ甘酸っぱい教団証パック</t>
    <rPh sb="4" eb="6">
      <t>アマズ</t>
    </rPh>
    <rPh sb="9" eb="12">
      <t>キョウダンショウ</t>
    </rPh>
    <phoneticPr fontId="1"/>
  </si>
  <si>
    <t>日/5回</t>
    <rPh sb="0" eb="1">
      <t>ヒ</t>
    </rPh>
    <rPh sb="3" eb="4">
      <t>カイ</t>
    </rPh>
    <phoneticPr fontId="1"/>
  </si>
  <si>
    <t>日/8回</t>
    <rPh sb="0" eb="1">
      <t>ヒ</t>
    </rPh>
    <rPh sb="3" eb="4">
      <t>カイ</t>
    </rPh>
    <phoneticPr fontId="1"/>
  </si>
  <si>
    <t>★3純粋の使徒募集チケット</t>
    <rPh sb="2" eb="4">
      <t>ジュンスイ</t>
    </rPh>
    <rPh sb="5" eb="9">
      <t>シトボシュウ</t>
    </rPh>
    <phoneticPr fontId="1"/>
  </si>
  <si>
    <t>★3冷静の使徒募集チケット</t>
    <rPh sb="2" eb="4">
      <t>レイセイ</t>
    </rPh>
    <rPh sb="5" eb="9">
      <t>シトボシュウ</t>
    </rPh>
    <phoneticPr fontId="1"/>
  </si>
  <si>
    <t>★3狂気の使徒募集チケット</t>
    <rPh sb="2" eb="4">
      <t>キョウキ</t>
    </rPh>
    <rPh sb="5" eb="9">
      <t>シトボシュウ</t>
    </rPh>
    <phoneticPr fontId="1"/>
  </si>
  <si>
    <t>★3活発の使徒募集チケット</t>
    <rPh sb="2" eb="4">
      <t>カッパツ</t>
    </rPh>
    <rPh sb="5" eb="9">
      <t>シトボシュウ</t>
    </rPh>
    <phoneticPr fontId="1"/>
  </si>
  <si>
    <t>★3憂鬱の使徒募集チケット</t>
    <rPh sb="2" eb="4">
      <t>ユウウツ</t>
    </rPh>
    <rPh sb="5" eb="9">
      <t>シトボシュウ</t>
    </rPh>
    <phoneticPr fontId="1"/>
  </si>
  <si>
    <t>★3超特別パック</t>
    <rPh sb="2" eb="5">
      <t>チョウトクベツ</t>
    </rPh>
    <phoneticPr fontId="1"/>
  </si>
  <si>
    <t>エリーフサプライズ交換パック</t>
    <rPh sb="9" eb="11">
      <t>コウカン</t>
    </rPh>
    <phoneticPr fontId="1"/>
  </si>
  <si>
    <t>伝説カードパック</t>
    <rPh sb="0" eb="2">
      <t>デンセツ</t>
    </rPh>
    <phoneticPr fontId="1"/>
  </si>
  <si>
    <t>エルダイン使徒合成カード</t>
    <rPh sb="5" eb="9">
      <t>シトゴウセイ</t>
    </rPh>
    <phoneticPr fontId="1"/>
  </si>
  <si>
    <t>週/1回</t>
    <rPh sb="0" eb="1">
      <t>シュウ</t>
    </rPh>
    <rPh sb="3" eb="4">
      <t>カイ</t>
    </rPh>
    <phoneticPr fontId="1"/>
  </si>
  <si>
    <t>月/1回</t>
    <rPh sb="0" eb="1">
      <t>ツキ</t>
    </rPh>
    <rPh sb="3" eb="4">
      <t>カイ</t>
    </rPh>
    <phoneticPr fontId="1"/>
  </si>
  <si>
    <t>★3冷静の使徒ガチャチケット</t>
    <rPh sb="2" eb="4">
      <t>レイセイ</t>
    </rPh>
    <rPh sb="5" eb="7">
      <t>シト</t>
    </rPh>
    <phoneticPr fontId="1"/>
  </si>
  <si>
    <t>★3狂気の使徒ガチャチケット</t>
    <rPh sb="2" eb="4">
      <t>キョウキ</t>
    </rPh>
    <rPh sb="5" eb="7">
      <t>シト</t>
    </rPh>
    <phoneticPr fontId="1"/>
  </si>
  <si>
    <t>★3活発の使徒ガチャチケット</t>
    <rPh sb="2" eb="4">
      <t>カッパツ</t>
    </rPh>
    <rPh sb="5" eb="7">
      <t>シト</t>
    </rPh>
    <phoneticPr fontId="1"/>
  </si>
  <si>
    <t>★3超特別募集チケット</t>
    <rPh sb="2" eb="5">
      <t>チョウトクベツ</t>
    </rPh>
    <rPh sb="5" eb="7">
      <t>ボシュウ</t>
    </rPh>
    <phoneticPr fontId="1"/>
  </si>
  <si>
    <t>伝説カードガチャチケット</t>
    <rPh sb="0" eb="2">
      <t>デンセツ</t>
    </rPh>
    <phoneticPr fontId="1"/>
  </si>
  <si>
    <t>★3ガチャチケット</t>
    <phoneticPr fontId="1"/>
  </si>
  <si>
    <t>エリーフの供物 01</t>
    <rPh sb="5" eb="7">
      <t>クモツ</t>
    </rPh>
    <phoneticPr fontId="1"/>
  </si>
  <si>
    <t>エリーフの供物 02</t>
    <rPh sb="5" eb="7">
      <t>クモツ</t>
    </rPh>
    <phoneticPr fontId="1"/>
  </si>
  <si>
    <t>キャンディの供物</t>
    <rPh sb="6" eb="8">
      <t>クモツ</t>
    </rPh>
    <phoneticPr fontId="1"/>
  </si>
  <si>
    <t>スターキャンディの供物</t>
    <rPh sb="9" eb="11">
      <t>クモツ</t>
    </rPh>
    <phoneticPr fontId="1"/>
  </si>
  <si>
    <t>ヌウリングバスターズのキャンディ消費量が10→0,1日のヌウリング狩りチケットのチケット回復量が4→5に増加</t>
    <rPh sb="16" eb="19">
      <t>ショウヒリョウ</t>
    </rPh>
    <rPh sb="26" eb="27">
      <t>ニチ</t>
    </rPh>
    <rPh sb="33" eb="34">
      <t>ガ</t>
    </rPh>
    <rPh sb="44" eb="47">
      <t>カイフクリョウ</t>
    </rPh>
    <rPh sb="52" eb="54">
      <t>ゾウカ</t>
    </rPh>
    <phoneticPr fontId="1"/>
  </si>
  <si>
    <t>短期速成コースの入場回数2→3</t>
    <rPh sb="0" eb="4">
      <t>タンキソクセイ</t>
    </rPh>
    <rPh sb="8" eb="12">
      <t>ニュウジョウカイスウ</t>
    </rPh>
    <phoneticPr fontId="1"/>
  </si>
  <si>
    <t>Clone Factoryスターキャンディ消費量20→10</t>
    <rPh sb="21" eb="24">
      <t>ショウヒリョウ</t>
    </rPh>
    <phoneticPr fontId="1"/>
  </si>
  <si>
    <t>60エリーフ</t>
    <phoneticPr fontId="1"/>
  </si>
  <si>
    <t>300エリーフ</t>
    <phoneticPr fontId="1"/>
  </si>
  <si>
    <t>680エリーフ</t>
    <phoneticPr fontId="1"/>
  </si>
  <si>
    <t>1280エリーフ</t>
    <phoneticPr fontId="1"/>
  </si>
  <si>
    <t>1980エリーフ</t>
    <phoneticPr fontId="1"/>
  </si>
  <si>
    <t>3280エリーフ</t>
    <phoneticPr fontId="1"/>
  </si>
  <si>
    <t>6480エリーフ</t>
    <phoneticPr fontId="1"/>
  </si>
  <si>
    <t>購入方法</t>
    <rPh sb="0" eb="4">
      <t>コウニュウホウホウ</t>
    </rPh>
    <phoneticPr fontId="1"/>
  </si>
  <si>
    <t>ボーナスエリーフ</t>
    <phoneticPr fontId="1"/>
  </si>
  <si>
    <t>週間チケット3種パック</t>
    <rPh sb="0" eb="2">
      <t>シュウカン</t>
    </rPh>
    <rPh sb="7" eb="8">
      <t>シュ</t>
    </rPh>
    <phoneticPr fontId="1"/>
  </si>
  <si>
    <t>週間料理パック</t>
    <rPh sb="0" eb="4">
      <t>シュウカンリョウリ</t>
    </rPh>
    <phoneticPr fontId="1"/>
  </si>
  <si>
    <t>週間キャンディ&amp;スターキャンディパック</t>
    <rPh sb="0" eb="2">
      <t>シュウカン</t>
    </rPh>
    <phoneticPr fontId="1"/>
  </si>
  <si>
    <t>週間マシュマロパック</t>
    <rPh sb="0" eb="2">
      <t>シュウカン</t>
    </rPh>
    <phoneticPr fontId="1"/>
  </si>
  <si>
    <t>週間使徒募集チケットパック</t>
    <rPh sb="0" eb="6">
      <t>シュウカンシトボシュウ</t>
    </rPh>
    <phoneticPr fontId="1"/>
  </si>
  <si>
    <t>週間教団証パック</t>
    <rPh sb="0" eb="2">
      <t>シュウカン</t>
    </rPh>
    <rPh sb="2" eb="4">
      <t>キョウダン</t>
    </rPh>
    <rPh sb="4" eb="5">
      <t>ショウ</t>
    </rPh>
    <phoneticPr fontId="1"/>
  </si>
  <si>
    <t>週間使徒パック</t>
    <rPh sb="0" eb="4">
      <t>シュウカンシト</t>
    </rPh>
    <phoneticPr fontId="1"/>
  </si>
  <si>
    <t>週/3回</t>
    <rPh sb="0" eb="1">
      <t>シュウ</t>
    </rPh>
    <rPh sb="3" eb="4">
      <t>カイ</t>
    </rPh>
    <phoneticPr fontId="1"/>
  </si>
  <si>
    <t>制限なし</t>
    <rPh sb="0" eb="2">
      <t>セイゲン</t>
    </rPh>
    <phoneticPr fontId="1"/>
  </si>
  <si>
    <t>イベント/1回</t>
    <rPh sb="6" eb="7">
      <t>カイ</t>
    </rPh>
    <phoneticPr fontId="1"/>
  </si>
  <si>
    <t>イベント/3回</t>
    <rPh sb="6" eb="7">
      <t>カイ</t>
    </rPh>
    <phoneticPr fontId="1"/>
  </si>
  <si>
    <t>イベント/2回</t>
    <rPh sb="6" eb="7">
      <t>カイ</t>
    </rPh>
    <phoneticPr fontId="1"/>
  </si>
  <si>
    <t>31日/1回</t>
    <rPh sb="2" eb="3">
      <t>ニチ</t>
    </rPh>
    <rPh sb="5" eb="6">
      <t>カイ</t>
    </rPh>
    <phoneticPr fontId="1"/>
  </si>
  <si>
    <t>月間教団素材パック1</t>
    <rPh sb="0" eb="6">
      <t>ゲッカンキョウダンソザイ</t>
    </rPh>
    <phoneticPr fontId="1"/>
  </si>
  <si>
    <t>月間教団素材パック2</t>
    <rPh sb="0" eb="6">
      <t>ゲッカンキョウダンソザイ</t>
    </rPh>
    <phoneticPr fontId="1"/>
  </si>
  <si>
    <t>月間教団素材パック3</t>
    <rPh sb="0" eb="6">
      <t>ゲッカンキョウダンソザイ</t>
    </rPh>
    <phoneticPr fontId="1"/>
  </si>
  <si>
    <t>月間ゴールドいっぱいパック</t>
    <rPh sb="0" eb="2">
      <t>ゲッカン</t>
    </rPh>
    <phoneticPr fontId="1"/>
  </si>
  <si>
    <t>月間装備パック</t>
    <rPh sb="0" eb="2">
      <t>ゲッカン</t>
    </rPh>
    <rPh sb="2" eb="4">
      <t>ソウビ</t>
    </rPh>
    <phoneticPr fontId="1"/>
  </si>
  <si>
    <t>月間成長パック</t>
    <rPh sb="0" eb="4">
      <t>ゲッカンセイチョウ</t>
    </rPh>
    <phoneticPr fontId="1"/>
  </si>
  <si>
    <t>月間クレヨンパック</t>
    <rPh sb="0" eb="2">
      <t>ゲッカン</t>
    </rPh>
    <phoneticPr fontId="1"/>
  </si>
  <si>
    <t>月間使徒募集パック</t>
    <rPh sb="0" eb="2">
      <t>ゲッカン</t>
    </rPh>
    <rPh sb="2" eb="4">
      <t>シト</t>
    </rPh>
    <rPh sb="4" eb="6">
      <t>ボシュウ</t>
    </rPh>
    <phoneticPr fontId="1"/>
  </si>
  <si>
    <t>月間カードパック</t>
    <rPh sb="0" eb="2">
      <t>ゲッカン</t>
    </rPh>
    <phoneticPr fontId="1"/>
  </si>
  <si>
    <t>月/3回</t>
    <rPh sb="0" eb="1">
      <t>ツキ</t>
    </rPh>
    <rPh sb="3" eb="4">
      <t>カイ</t>
    </rPh>
    <phoneticPr fontId="1"/>
  </si>
  <si>
    <t>月/8回</t>
    <rPh sb="0" eb="1">
      <t>ツキ</t>
    </rPh>
    <rPh sb="3" eb="4">
      <t>カイ</t>
    </rPh>
    <phoneticPr fontId="1"/>
  </si>
  <si>
    <t>3000K</t>
    <phoneticPr fontId="1"/>
  </si>
  <si>
    <t>R3,R4,R5</t>
    <phoneticPr fontId="1"/>
  </si>
  <si>
    <t>上級精錬石</t>
    <rPh sb="0" eb="2">
      <t>ジョウキュウ</t>
    </rPh>
    <rPh sb="2" eb="4">
      <t>セイレン</t>
    </rPh>
    <rPh sb="4" eb="5">
      <t>イシ</t>
    </rPh>
    <phoneticPr fontId="1"/>
  </si>
  <si>
    <t>下級精錬石</t>
    <rPh sb="0" eb="2">
      <t>カキュウ</t>
    </rPh>
    <rPh sb="2" eb="4">
      <t>セイレン</t>
    </rPh>
    <rPh sb="4" eb="5">
      <t>イシ</t>
    </rPh>
    <phoneticPr fontId="1"/>
  </si>
  <si>
    <t>中級精錬石</t>
    <rPh sb="0" eb="2">
      <t>チュウキュウ</t>
    </rPh>
    <rPh sb="2" eb="4">
      <t>セイレン</t>
    </rPh>
    <rPh sb="4" eb="5">
      <t>イシ</t>
    </rPh>
    <phoneticPr fontId="1"/>
  </si>
  <si>
    <t>R6,R7,R8</t>
    <phoneticPr fontId="1"/>
  </si>
  <si>
    <t>サンシャイントークン*3</t>
    <phoneticPr fontId="1"/>
  </si>
  <si>
    <t>毎日無料パック</t>
    <rPh sb="0" eb="4">
      <t>マイニチムリョウ</t>
    </rPh>
    <phoneticPr fontId="1"/>
  </si>
  <si>
    <t>イベント・日/1回</t>
    <rPh sb="5" eb="6">
      <t>ヒ</t>
    </rPh>
    <rPh sb="8" eb="9">
      <t>カイ</t>
    </rPh>
    <phoneticPr fontId="1"/>
  </si>
  <si>
    <t>ウサギトークン</t>
    <phoneticPr fontId="1"/>
  </si>
  <si>
    <t>イベント・日/5回</t>
    <rPh sb="5" eb="6">
      <t>ヒ</t>
    </rPh>
    <rPh sb="8" eb="9">
      <t>カイ</t>
    </rPh>
    <phoneticPr fontId="1"/>
  </si>
  <si>
    <t>ウサギトークン*1</t>
    <phoneticPr fontId="1"/>
  </si>
  <si>
    <t>たっぷり私服コーデ箱*1</t>
    <phoneticPr fontId="1"/>
  </si>
  <si>
    <t>週間無料パック</t>
    <rPh sb="0" eb="2">
      <t>シュウカン</t>
    </rPh>
    <rPh sb="2" eb="4">
      <t>ムリョウ</t>
    </rPh>
    <phoneticPr fontId="1"/>
  </si>
  <si>
    <t>月間無料パック</t>
    <rPh sb="0" eb="4">
      <t>ゲッカンムリョウ</t>
    </rPh>
    <phoneticPr fontId="1"/>
  </si>
  <si>
    <t>15K</t>
    <phoneticPr fontId="1"/>
  </si>
  <si>
    <t>通算/1回</t>
    <rPh sb="0" eb="2">
      <t>ツウサン</t>
    </rPh>
    <rPh sb="4" eb="5">
      <t>カイ</t>
    </rPh>
    <phoneticPr fontId="1"/>
  </si>
  <si>
    <t>消費有料エリーフ</t>
    <rPh sb="0" eb="2">
      <t>ショウヒ</t>
    </rPh>
    <rPh sb="2" eb="4">
      <t>ユウリョウ</t>
    </rPh>
    <phoneticPr fontId="1"/>
  </si>
  <si>
    <t>消費無料エリーフ</t>
    <rPh sb="0" eb="2">
      <t>ショウヒ</t>
    </rPh>
    <rPh sb="2" eb="4">
      <t>ムリョウ</t>
    </rPh>
    <phoneticPr fontId="1"/>
  </si>
  <si>
    <t>7000K</t>
    <phoneticPr fontId="1"/>
  </si>
  <si>
    <t>ジョアン：私服パス</t>
    <rPh sb="5" eb="7">
      <t>シフク</t>
    </rPh>
    <phoneticPr fontId="1"/>
  </si>
  <si>
    <t>ジョアンの私服:咲き誇る花のように フレーム:爽やかな光輝フレーム ポスター:爽やかな光の中でポスター フィギュア:強き司祭フィギュア 輝く日差しフィギュア</t>
    <rPh sb="5" eb="7">
      <t>シフク</t>
    </rPh>
    <rPh sb="8" eb="9">
      <t>サ</t>
    </rPh>
    <rPh sb="10" eb="11">
      <t>ホコ</t>
    </rPh>
    <rPh sb="12" eb="13">
      <t>ハナ</t>
    </rPh>
    <rPh sb="23" eb="24">
      <t>サワ</t>
    </rPh>
    <rPh sb="27" eb="29">
      <t>コウキ</t>
    </rPh>
    <rPh sb="39" eb="40">
      <t>サワ</t>
    </rPh>
    <rPh sb="43" eb="44">
      <t>ヒカリ</t>
    </rPh>
    <rPh sb="45" eb="46">
      <t>ナカ</t>
    </rPh>
    <rPh sb="58" eb="59">
      <t>ツヨ</t>
    </rPh>
    <rPh sb="60" eb="62">
      <t>シサイ</t>
    </rPh>
    <rPh sb="68" eb="69">
      <t>カガヤ</t>
    </rPh>
    <rPh sb="70" eb="72">
      <t>ヒザ</t>
    </rPh>
    <phoneticPr fontId="1"/>
  </si>
  <si>
    <t>ジョアン：スゲェパス</t>
    <phoneticPr fontId="1"/>
  </si>
  <si>
    <t>探検パス(2026/10月)</t>
    <rPh sb="0" eb="2">
      <t>タンケン</t>
    </rPh>
    <rPh sb="12" eb="13">
      <t>ガツ</t>
    </rPh>
    <phoneticPr fontId="1"/>
  </si>
  <si>
    <t>830K</t>
    <phoneticPr fontId="1"/>
  </si>
  <si>
    <t>下級くれよん*120 中級くれよん*60 モカロン*200K 消化剤*2 研究と成長の材料箱*26 コレクションを作る材料箱*26</t>
    <rPh sb="0" eb="2">
      <t>カキュウ</t>
    </rPh>
    <rPh sb="11" eb="13">
      <t>チュウキュウ</t>
    </rPh>
    <rPh sb="31" eb="34">
      <t>ショウカザイ</t>
    </rPh>
    <rPh sb="37" eb="39">
      <t>ケンキュウ</t>
    </rPh>
    <rPh sb="40" eb="42">
      <t>セイチョウ</t>
    </rPh>
    <rPh sb="43" eb="46">
      <t>ザイリョウバコ</t>
    </rPh>
    <rPh sb="57" eb="58">
      <t>ツク</t>
    </rPh>
    <rPh sb="59" eb="62">
      <t>ザイリョウバコ</t>
    </rPh>
    <phoneticPr fontId="1"/>
  </si>
  <si>
    <t>一緒にずっとロビーパック</t>
    <rPh sb="0" eb="2">
      <t>イッショ</t>
    </rPh>
    <phoneticPr fontId="1"/>
  </si>
  <si>
    <t>ウサギトークン*3,ロビー背景 一緒にずっと(昼)*1</t>
    <rPh sb="13" eb="15">
      <t>ハイケイ</t>
    </rPh>
    <rPh sb="16" eb="18">
      <t>イッショ</t>
    </rPh>
    <rPh sb="23" eb="24">
      <t>ヒル</t>
    </rPh>
    <phoneticPr fontId="1"/>
  </si>
  <si>
    <t>１周年キャンディパック</t>
    <rPh sb="1" eb="3">
      <t>シュウネン</t>
    </rPh>
    <phoneticPr fontId="1"/>
  </si>
  <si>
    <t>1周年たっぷりパック</t>
    <rPh sb="1" eb="3">
      <t>シュウネン</t>
    </rPh>
    <phoneticPr fontId="1"/>
  </si>
  <si>
    <t>ウサギトークン*2</t>
    <phoneticPr fontId="1"/>
  </si>
  <si>
    <t>ヘイリーの挨拶パック</t>
    <rPh sb="5" eb="7">
      <t>アイサツ</t>
    </rPh>
    <phoneticPr fontId="1"/>
  </si>
  <si>
    <t>ヘイリーの交渉パック</t>
    <rPh sb="5" eb="7">
      <t>コウショウ</t>
    </rPh>
    <phoneticPr fontId="1"/>
  </si>
  <si>
    <t>ヘイリーの満足パック</t>
    <rPh sb="5" eb="7">
      <t>マンゾク</t>
    </rPh>
    <phoneticPr fontId="1"/>
  </si>
  <si>
    <t>ヘイリーの進級パック</t>
    <rPh sb="5" eb="7">
      <t>シンキュウ</t>
    </rPh>
    <phoneticPr fontId="1"/>
  </si>
  <si>
    <t>ヘイリーの装備パック</t>
    <rPh sb="5" eb="7">
      <t>ソウビ</t>
    </rPh>
    <phoneticPr fontId="1"/>
  </si>
  <si>
    <t>星に願い事ヨミパック</t>
    <rPh sb="0" eb="1">
      <t>ホシ</t>
    </rPh>
    <rPh sb="2" eb="3">
      <t>ネガ</t>
    </rPh>
    <rPh sb="4" eb="5">
      <t>ゴト</t>
    </rPh>
    <phoneticPr fontId="1"/>
  </si>
  <si>
    <t>ヘイリーの指揮パック</t>
    <rPh sb="5" eb="7">
      <t>シキ</t>
    </rPh>
    <phoneticPr fontId="1"/>
  </si>
  <si>
    <t>ヘイリーのイキりパック</t>
    <phoneticPr fontId="1"/>
  </si>
  <si>
    <t>ヘイリーの意思パック</t>
    <rPh sb="5" eb="7">
      <t>イシ</t>
    </rPh>
    <phoneticPr fontId="1"/>
  </si>
  <si>
    <t>★3所持一般使徒選択チケット</t>
    <rPh sb="2" eb="4">
      <t>ショジ</t>
    </rPh>
    <rPh sb="4" eb="8">
      <t>イッパンシト</t>
    </rPh>
    <rPh sb="8" eb="10">
      <t>センタク</t>
    </rPh>
    <phoneticPr fontId="1"/>
  </si>
  <si>
    <t>ヨミの使徒証*20</t>
    <rPh sb="3" eb="5">
      <t>シト</t>
    </rPh>
    <rPh sb="5" eb="6">
      <t>ショウ</t>
    </rPh>
    <phoneticPr fontId="1"/>
  </si>
  <si>
    <t>魔法!疑いの眼差し</t>
    <rPh sb="0" eb="2">
      <t>マホウ</t>
    </rPh>
    <rPh sb="3" eb="4">
      <t>ウタガ</t>
    </rPh>
    <rPh sb="6" eb="8">
      <t>マナザ</t>
    </rPh>
    <phoneticPr fontId="1"/>
  </si>
  <si>
    <t>月光変身!ヨミポスター</t>
    <rPh sb="0" eb="4">
      <t>ゲッコウヘンシン</t>
    </rPh>
    <phoneticPr fontId="1"/>
  </si>
  <si>
    <t>魔法少女と戦うヴィヴィフィギュア</t>
    <rPh sb="0" eb="4">
      <t>マホウショウジョ</t>
    </rPh>
    <rPh sb="5" eb="6">
      <t>タタカ</t>
    </rPh>
    <phoneticPr fontId="1"/>
  </si>
  <si>
    <t>魔法少女と戦うヨミフィギュア</t>
    <rPh sb="0" eb="4">
      <t>マホウショウジョ</t>
    </rPh>
    <rPh sb="5" eb="6">
      <t>タタカ</t>
    </rPh>
    <phoneticPr fontId="1"/>
  </si>
  <si>
    <t>月にかかった魔法少女</t>
    <rPh sb="0" eb="1">
      <t>ツキ</t>
    </rPh>
    <rPh sb="6" eb="10">
      <t>マホウショウジョ</t>
    </rPh>
    <phoneticPr fontId="1"/>
  </si>
  <si>
    <t>魔法少女ヨミフレーム</t>
    <rPh sb="0" eb="4">
      <t>マホウショウジョ</t>
    </rPh>
    <phoneticPr fontId="1"/>
  </si>
  <si>
    <t>ポスター:魔法!疑いの眼差し</t>
    <rPh sb="5" eb="7">
      <t>マホウ</t>
    </rPh>
    <rPh sb="8" eb="9">
      <t>ウタガ</t>
    </rPh>
    <rPh sb="11" eb="13">
      <t>マナザ</t>
    </rPh>
    <phoneticPr fontId="1"/>
  </si>
  <si>
    <t>ポスター月光変身!ヨミポスター</t>
    <rPh sb="4" eb="8">
      <t>ゲッコウヘンシン</t>
    </rPh>
    <phoneticPr fontId="1"/>
  </si>
  <si>
    <t>フィギュア:魔法少女と戦うヴィヴィのフィギュア</t>
    <rPh sb="6" eb="10">
      <t>マホウショウジョ</t>
    </rPh>
    <rPh sb="11" eb="12">
      <t>タタカ</t>
    </rPh>
    <phoneticPr fontId="1"/>
  </si>
  <si>
    <t>フィギュア:魔法少女と戦うヨミのフィギュア</t>
    <phoneticPr fontId="1"/>
  </si>
  <si>
    <t>キーホルダー:月にかかった魔法少女</t>
    <rPh sb="7" eb="8">
      <t>ツキ</t>
    </rPh>
    <rPh sb="13" eb="17">
      <t>マホウショウジョ</t>
    </rPh>
    <phoneticPr fontId="1"/>
  </si>
  <si>
    <t>プロフアイコン:信仰と信仰の間アイコン フィギュア:司祭の外出フィギュア</t>
    <rPh sb="8" eb="10">
      <t>シンコウ</t>
    </rPh>
    <rPh sb="11" eb="13">
      <t>シンコウ</t>
    </rPh>
    <rPh sb="14" eb="15">
      <t>ハザマ</t>
    </rPh>
    <rPh sb="26" eb="28">
      <t>シサイ</t>
    </rPh>
    <rPh sb="29" eb="31">
      <t>ガイシュツ</t>
    </rPh>
    <phoneticPr fontId="1"/>
  </si>
  <si>
    <t>コミーの秘密パック</t>
    <rPh sb="4" eb="6">
      <t>ヒミツ</t>
    </rPh>
    <phoneticPr fontId="1"/>
  </si>
  <si>
    <t>コミーの休息パック</t>
    <rPh sb="4" eb="6">
      <t>キュウソク</t>
    </rPh>
    <phoneticPr fontId="1"/>
  </si>
  <si>
    <t>コミーの足跡パック</t>
    <rPh sb="4" eb="6">
      <t>アシアト</t>
    </rPh>
    <phoneticPr fontId="1"/>
  </si>
  <si>
    <t>コミーの計画パック</t>
    <rPh sb="4" eb="6">
      <t>ケイカク</t>
    </rPh>
    <phoneticPr fontId="1"/>
  </si>
  <si>
    <t>コミーの水遊びパック</t>
    <rPh sb="4" eb="6">
      <t>ミズアソ</t>
    </rPh>
    <phoneticPr fontId="1"/>
  </si>
  <si>
    <t>コミーの目標パック</t>
    <rPh sb="4" eb="6">
      <t>モクヒョウ</t>
    </rPh>
    <phoneticPr fontId="1"/>
  </si>
  <si>
    <t>コミーの満足パック</t>
    <rPh sb="4" eb="6">
      <t>マンゾク</t>
    </rPh>
    <phoneticPr fontId="1"/>
  </si>
  <si>
    <t>コミーのスカウトパック</t>
    <phoneticPr fontId="1"/>
  </si>
  <si>
    <t>コミーの回想パック</t>
    <rPh sb="4" eb="6">
      <t>カイソウ</t>
    </rPh>
    <phoneticPr fontId="1"/>
  </si>
  <si>
    <t>1500K</t>
    <phoneticPr fontId="1"/>
  </si>
  <si>
    <t>ウサギトークン*5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</si>
</sst>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1CC5-3751-4AD8-8501-A75691DE05E7}">
  <dimension ref="A1:BC29"/>
  <sheetViews>
    <sheetView tabSelected="1" workbookViewId="0">
      <selection activeCell="G12" sqref="G12"/>
    </sheetView>
  </sheetViews>
  <sheetFormatPr defaultRowHeight="17.649999999999999" x14ac:dyDescent="0.7"/>
  <sheetData>
    <row r="1" spans="1:55" x14ac:dyDescent="0.7">
      <c r="A1" t="s">
        <v>26</v>
      </c>
      <c r="F1" t="s">
        <v>40</v>
      </c>
      <c r="BC1" t="s">
        <v>19</v>
      </c>
    </row>
    <row r="2" spans="1:55" x14ac:dyDescent="0.7">
      <c r="C2" t="s">
        <v>113</v>
      </c>
      <c r="F2" t="s">
        <v>1</v>
      </c>
      <c r="H2" t="s">
        <v>27</v>
      </c>
      <c r="S2" t="s">
        <v>3</v>
      </c>
      <c r="U2" t="s">
        <v>28</v>
      </c>
      <c r="AI2" t="s">
        <v>48</v>
      </c>
      <c r="AZ2" t="s">
        <v>21</v>
      </c>
    </row>
    <row r="3" spans="1:55" x14ac:dyDescent="0.7">
      <c r="D3" t="s">
        <v>71</v>
      </c>
      <c r="K3" t="s">
        <v>98</v>
      </c>
      <c r="U3" t="s">
        <v>36</v>
      </c>
      <c r="W3" t="s">
        <v>47</v>
      </c>
      <c r="AB3" t="s">
        <v>46</v>
      </c>
      <c r="AE3" t="s">
        <v>45</v>
      </c>
      <c r="AG3" t="s">
        <v>44</v>
      </c>
      <c r="AI3" t="s">
        <v>29</v>
      </c>
      <c r="AM3" t="s">
        <v>49</v>
      </c>
    </row>
    <row r="4" spans="1:55" x14ac:dyDescent="0.7">
      <c r="A4" t="s">
        <v>0</v>
      </c>
      <c r="B4" t="s">
        <v>74</v>
      </c>
      <c r="C4" t="s">
        <v>4</v>
      </c>
      <c r="D4" t="s">
        <v>156</v>
      </c>
      <c r="E4" t="s">
        <v>157</v>
      </c>
      <c r="F4" t="s">
        <v>10</v>
      </c>
      <c r="G4" t="s">
        <v>9</v>
      </c>
      <c r="H4" t="s">
        <v>14</v>
      </c>
      <c r="I4" t="s">
        <v>15</v>
      </c>
      <c r="J4" t="s">
        <v>16</v>
      </c>
      <c r="K4" t="s">
        <v>67</v>
      </c>
      <c r="L4" t="s">
        <v>93</v>
      </c>
      <c r="M4" t="s">
        <v>94</v>
      </c>
      <c r="N4" t="s">
        <v>95</v>
      </c>
      <c r="O4" t="s">
        <v>68</v>
      </c>
      <c r="P4" t="s">
        <v>96</v>
      </c>
      <c r="Q4" t="s">
        <v>24</v>
      </c>
      <c r="R4" t="s">
        <v>2</v>
      </c>
      <c r="S4" t="s">
        <v>3</v>
      </c>
      <c r="T4" t="s">
        <v>13</v>
      </c>
      <c r="U4" t="s">
        <v>30</v>
      </c>
      <c r="V4" t="s">
        <v>31</v>
      </c>
      <c r="W4" t="s">
        <v>32</v>
      </c>
      <c r="X4" t="s">
        <v>12</v>
      </c>
      <c r="Y4" t="s">
        <v>142</v>
      </c>
      <c r="Z4" t="s">
        <v>143</v>
      </c>
      <c r="AA4" t="s">
        <v>141</v>
      </c>
      <c r="AB4" t="s">
        <v>33</v>
      </c>
      <c r="AC4" t="s">
        <v>35</v>
      </c>
      <c r="AD4" t="s">
        <v>34</v>
      </c>
      <c r="AE4" t="s">
        <v>41</v>
      </c>
      <c r="AF4" t="s">
        <v>17</v>
      </c>
      <c r="AG4" t="s">
        <v>38</v>
      </c>
      <c r="AH4" t="s">
        <v>39</v>
      </c>
      <c r="AI4" t="s">
        <v>42</v>
      </c>
      <c r="AJ4" t="s">
        <v>43</v>
      </c>
      <c r="AK4" t="s">
        <v>25</v>
      </c>
      <c r="AL4" t="s">
        <v>37</v>
      </c>
      <c r="AM4" t="s">
        <v>64</v>
      </c>
      <c r="AN4" t="s">
        <v>54</v>
      </c>
      <c r="AO4" t="s">
        <v>51</v>
      </c>
      <c r="AP4" t="s">
        <v>52</v>
      </c>
      <c r="AQ4" t="s">
        <v>53</v>
      </c>
      <c r="AR4" t="s">
        <v>50</v>
      </c>
      <c r="AS4" t="s">
        <v>55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  <c r="AY4" t="s">
        <v>61</v>
      </c>
      <c r="AZ4" t="s">
        <v>72</v>
      </c>
      <c r="BA4" t="s">
        <v>63</v>
      </c>
      <c r="BB4" t="s">
        <v>21</v>
      </c>
      <c r="BC4" t="s">
        <v>19</v>
      </c>
    </row>
    <row r="5" spans="1:55" x14ac:dyDescent="0.7">
      <c r="A5" t="s">
        <v>5</v>
      </c>
      <c r="B5" t="s">
        <v>155</v>
      </c>
      <c r="C5">
        <v>160</v>
      </c>
      <c r="R5" t="s">
        <v>18</v>
      </c>
      <c r="BC5" t="s">
        <v>20</v>
      </c>
    </row>
    <row r="6" spans="1:55" x14ac:dyDescent="0.7">
      <c r="A6" t="s">
        <v>6</v>
      </c>
      <c r="B6" t="s">
        <v>155</v>
      </c>
      <c r="C6">
        <v>680</v>
      </c>
      <c r="F6">
        <v>200</v>
      </c>
      <c r="G6">
        <v>2000</v>
      </c>
    </row>
    <row r="7" spans="1:55" x14ac:dyDescent="0.7">
      <c r="A7" t="s">
        <v>7</v>
      </c>
      <c r="B7" t="s">
        <v>155</v>
      </c>
      <c r="C7">
        <v>1600</v>
      </c>
      <c r="F7">
        <v>480</v>
      </c>
      <c r="H7">
        <v>10</v>
      </c>
      <c r="R7" t="s">
        <v>11</v>
      </c>
      <c r="S7">
        <v>300</v>
      </c>
      <c r="T7">
        <v>300</v>
      </c>
      <c r="W7" t="s">
        <v>62</v>
      </c>
      <c r="X7">
        <v>1500</v>
      </c>
    </row>
    <row r="8" spans="1:55" x14ac:dyDescent="0.7">
      <c r="A8" t="s">
        <v>8</v>
      </c>
      <c r="B8" t="s">
        <v>124</v>
      </c>
      <c r="C8">
        <v>680</v>
      </c>
      <c r="F8" t="s">
        <v>22</v>
      </c>
      <c r="BB8" t="s">
        <v>151</v>
      </c>
      <c r="BC8" t="s">
        <v>23</v>
      </c>
    </row>
    <row r="9" spans="1:55" x14ac:dyDescent="0.7">
      <c r="A9" t="s">
        <v>167</v>
      </c>
      <c r="B9" t="s">
        <v>124</v>
      </c>
      <c r="C9">
        <v>160</v>
      </c>
      <c r="R9" t="s">
        <v>11</v>
      </c>
      <c r="S9">
        <v>1111</v>
      </c>
    </row>
    <row r="10" spans="1:55" x14ac:dyDescent="0.7">
      <c r="A10" t="s">
        <v>168</v>
      </c>
      <c r="B10" t="s">
        <v>124</v>
      </c>
      <c r="C10">
        <v>1000</v>
      </c>
      <c r="F10">
        <v>300</v>
      </c>
      <c r="G10">
        <v>300</v>
      </c>
      <c r="S10">
        <v>300</v>
      </c>
      <c r="T10">
        <v>300</v>
      </c>
      <c r="X10">
        <v>2000</v>
      </c>
      <c r="AF10">
        <v>2</v>
      </c>
      <c r="BB10" t="s">
        <v>169</v>
      </c>
    </row>
    <row r="11" spans="1:55" x14ac:dyDescent="0.7">
      <c r="A11" t="s">
        <v>165</v>
      </c>
      <c r="B11" t="s">
        <v>124</v>
      </c>
      <c r="C11">
        <v>3000</v>
      </c>
      <c r="F11">
        <v>850</v>
      </c>
      <c r="H11">
        <v>10</v>
      </c>
      <c r="I11">
        <v>10</v>
      </c>
      <c r="BB11" t="s">
        <v>166</v>
      </c>
    </row>
    <row r="12" spans="1:55" x14ac:dyDescent="0.7">
      <c r="A12" t="s">
        <v>170</v>
      </c>
      <c r="B12" t="s">
        <v>125</v>
      </c>
      <c r="C12">
        <v>1000</v>
      </c>
      <c r="F12">
        <v>300</v>
      </c>
      <c r="G12">
        <v>300</v>
      </c>
      <c r="H12">
        <v>10</v>
      </c>
      <c r="BB12" t="s">
        <v>150</v>
      </c>
    </row>
    <row r="13" spans="1:55" x14ac:dyDescent="0.7">
      <c r="A13" t="s">
        <v>171</v>
      </c>
      <c r="B13" t="s">
        <v>125</v>
      </c>
      <c r="C13">
        <v>1000</v>
      </c>
      <c r="F13">
        <v>300</v>
      </c>
      <c r="G13">
        <v>300</v>
      </c>
      <c r="I13">
        <v>10</v>
      </c>
      <c r="BB13" t="s">
        <v>150</v>
      </c>
    </row>
    <row r="14" spans="1:55" x14ac:dyDescent="0.7">
      <c r="A14" t="s">
        <v>172</v>
      </c>
      <c r="B14" t="s">
        <v>125</v>
      </c>
      <c r="C14">
        <v>1000</v>
      </c>
      <c r="F14">
        <v>300</v>
      </c>
      <c r="G14">
        <v>300</v>
      </c>
      <c r="J14">
        <v>10</v>
      </c>
      <c r="BB14" t="s">
        <v>150</v>
      </c>
    </row>
    <row r="15" spans="1:55" x14ac:dyDescent="0.7">
      <c r="A15" t="s">
        <v>173</v>
      </c>
      <c r="B15" t="s">
        <v>125</v>
      </c>
      <c r="C15">
        <v>3000</v>
      </c>
      <c r="F15">
        <v>850</v>
      </c>
      <c r="AE15">
        <v>10</v>
      </c>
      <c r="AF15">
        <v>4</v>
      </c>
    </row>
    <row r="16" spans="1:55" x14ac:dyDescent="0.7">
      <c r="A16" t="s">
        <v>174</v>
      </c>
      <c r="B16" t="s">
        <v>126</v>
      </c>
      <c r="C16">
        <v>5200</v>
      </c>
      <c r="F16">
        <v>1500</v>
      </c>
      <c r="G16">
        <v>1500</v>
      </c>
      <c r="W16" t="s">
        <v>66</v>
      </c>
    </row>
    <row r="17" spans="1:54" x14ac:dyDescent="0.7">
      <c r="A17" t="s">
        <v>175</v>
      </c>
      <c r="B17" t="s">
        <v>124</v>
      </c>
      <c r="C17">
        <v>10000</v>
      </c>
      <c r="BA17" t="s">
        <v>158</v>
      </c>
      <c r="BB17" t="s">
        <v>180</v>
      </c>
    </row>
    <row r="18" spans="1:54" x14ac:dyDescent="0.7">
      <c r="A18" t="s">
        <v>176</v>
      </c>
      <c r="B18" t="s">
        <v>125</v>
      </c>
      <c r="C18">
        <v>12800</v>
      </c>
      <c r="H18">
        <v>150</v>
      </c>
      <c r="R18" t="s">
        <v>179</v>
      </c>
    </row>
    <row r="19" spans="1:54" x14ac:dyDescent="0.7">
      <c r="A19" t="s">
        <v>177</v>
      </c>
      <c r="B19" t="s">
        <v>125</v>
      </c>
      <c r="C19">
        <v>12800</v>
      </c>
      <c r="I19">
        <v>150</v>
      </c>
      <c r="K19">
        <v>3</v>
      </c>
    </row>
    <row r="20" spans="1:54" x14ac:dyDescent="0.7">
      <c r="A20" t="s">
        <v>178</v>
      </c>
      <c r="B20" t="s">
        <v>125</v>
      </c>
      <c r="C20">
        <v>12800</v>
      </c>
      <c r="J20">
        <v>150</v>
      </c>
      <c r="R20" t="s">
        <v>97</v>
      </c>
    </row>
    <row r="21" spans="1:54" x14ac:dyDescent="0.7">
      <c r="A21" t="s">
        <v>193</v>
      </c>
      <c r="B21" t="s">
        <v>125</v>
      </c>
      <c r="C21">
        <v>300</v>
      </c>
      <c r="F21">
        <v>80</v>
      </c>
      <c r="S21">
        <v>100</v>
      </c>
      <c r="T21">
        <v>100</v>
      </c>
      <c r="AI21">
        <v>10</v>
      </c>
      <c r="AZ21">
        <v>10</v>
      </c>
    </row>
    <row r="22" spans="1:54" x14ac:dyDescent="0.7">
      <c r="A22" t="s">
        <v>194</v>
      </c>
      <c r="B22" t="s">
        <v>125</v>
      </c>
      <c r="C22">
        <v>1000</v>
      </c>
      <c r="F22">
        <v>300</v>
      </c>
      <c r="AQ22">
        <v>90</v>
      </c>
      <c r="AT22">
        <v>30</v>
      </c>
      <c r="AV22">
        <v>150</v>
      </c>
      <c r="AX22">
        <v>150</v>
      </c>
    </row>
    <row r="23" spans="1:54" x14ac:dyDescent="0.7">
      <c r="A23" t="s">
        <v>195</v>
      </c>
      <c r="B23" t="s">
        <v>125</v>
      </c>
      <c r="C23">
        <v>1000</v>
      </c>
      <c r="F23">
        <v>300</v>
      </c>
      <c r="G23">
        <v>300</v>
      </c>
      <c r="AF23">
        <v>1</v>
      </c>
      <c r="BB23" t="s">
        <v>150</v>
      </c>
    </row>
    <row r="24" spans="1:54" x14ac:dyDescent="0.7">
      <c r="A24" t="s">
        <v>196</v>
      </c>
      <c r="B24" t="s">
        <v>125</v>
      </c>
      <c r="C24">
        <v>2400</v>
      </c>
      <c r="F24">
        <v>600</v>
      </c>
      <c r="H24">
        <v>10</v>
      </c>
      <c r="I24">
        <v>10</v>
      </c>
      <c r="L24">
        <v>1</v>
      </c>
      <c r="BA24" t="s">
        <v>202</v>
      </c>
    </row>
    <row r="25" spans="1:54" x14ac:dyDescent="0.7">
      <c r="A25" t="s">
        <v>197</v>
      </c>
      <c r="B25" t="s">
        <v>125</v>
      </c>
      <c r="C25">
        <v>2400</v>
      </c>
      <c r="F25">
        <v>600</v>
      </c>
      <c r="S25">
        <v>600</v>
      </c>
      <c r="T25">
        <v>600</v>
      </c>
      <c r="AZ25">
        <v>40</v>
      </c>
      <c r="BB25" t="s">
        <v>169</v>
      </c>
    </row>
    <row r="26" spans="1:54" x14ac:dyDescent="0.7">
      <c r="A26" t="s">
        <v>198</v>
      </c>
      <c r="B26" t="s">
        <v>126</v>
      </c>
      <c r="C26">
        <v>5200</v>
      </c>
      <c r="F26">
        <v>1500</v>
      </c>
      <c r="S26">
        <v>500</v>
      </c>
      <c r="T26">
        <v>500</v>
      </c>
      <c r="AG26">
        <v>400</v>
      </c>
      <c r="BB26" t="s">
        <v>203</v>
      </c>
    </row>
    <row r="27" spans="1:54" x14ac:dyDescent="0.7">
      <c r="A27" t="s">
        <v>199</v>
      </c>
      <c r="B27" t="s">
        <v>125</v>
      </c>
      <c r="C27">
        <v>10000</v>
      </c>
      <c r="G27">
        <v>100</v>
      </c>
      <c r="L27">
        <v>2</v>
      </c>
    </row>
    <row r="28" spans="1:54" x14ac:dyDescent="0.7">
      <c r="A28" t="s">
        <v>200</v>
      </c>
      <c r="B28" t="s">
        <v>125</v>
      </c>
      <c r="C28">
        <v>10000</v>
      </c>
      <c r="H28">
        <v>100</v>
      </c>
      <c r="AF28">
        <v>10</v>
      </c>
    </row>
    <row r="29" spans="1:54" x14ac:dyDescent="0.7">
      <c r="A29" t="s">
        <v>201</v>
      </c>
      <c r="B29" t="s">
        <v>125</v>
      </c>
      <c r="C29">
        <v>10000</v>
      </c>
      <c r="I29">
        <v>100</v>
      </c>
      <c r="AZ29">
        <v>200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215E-6864-47F5-89FE-632A3D1823AF}">
  <dimension ref="A1:BC31"/>
  <sheetViews>
    <sheetView topLeftCell="AR16" workbookViewId="0">
      <selection activeCell="BB32" sqref="BB32"/>
    </sheetView>
  </sheetViews>
  <sheetFormatPr defaultRowHeight="17.649999999999999" x14ac:dyDescent="0.7"/>
  <sheetData>
    <row r="1" spans="1:55" x14ac:dyDescent="0.7">
      <c r="A1" t="s">
        <v>26</v>
      </c>
      <c r="F1" t="s">
        <v>40</v>
      </c>
      <c r="BC1" t="s">
        <v>19</v>
      </c>
    </row>
    <row r="2" spans="1:55" x14ac:dyDescent="0.7">
      <c r="C2" t="s">
        <v>113</v>
      </c>
      <c r="F2" t="s">
        <v>1</v>
      </c>
      <c r="H2" t="s">
        <v>27</v>
      </c>
      <c r="S2" t="s">
        <v>3</v>
      </c>
      <c r="U2" t="s">
        <v>28</v>
      </c>
      <c r="AI2" t="s">
        <v>48</v>
      </c>
      <c r="AZ2" t="s">
        <v>21</v>
      </c>
    </row>
    <row r="3" spans="1:55" x14ac:dyDescent="0.7">
      <c r="D3" t="s">
        <v>71</v>
      </c>
      <c r="K3" t="s">
        <v>98</v>
      </c>
      <c r="U3" t="s">
        <v>36</v>
      </c>
      <c r="W3" t="s">
        <v>47</v>
      </c>
      <c r="AB3" t="s">
        <v>46</v>
      </c>
      <c r="AE3" t="s">
        <v>45</v>
      </c>
      <c r="AG3" t="s">
        <v>44</v>
      </c>
      <c r="AI3" t="s">
        <v>29</v>
      </c>
      <c r="AM3" t="s">
        <v>49</v>
      </c>
    </row>
    <row r="4" spans="1:55" x14ac:dyDescent="0.7">
      <c r="A4" t="s">
        <v>0</v>
      </c>
      <c r="B4" t="s">
        <v>75</v>
      </c>
      <c r="C4" t="s">
        <v>4</v>
      </c>
      <c r="D4" t="s">
        <v>156</v>
      </c>
      <c r="E4" t="s">
        <v>157</v>
      </c>
      <c r="F4" t="s">
        <v>10</v>
      </c>
      <c r="G4" t="s">
        <v>9</v>
      </c>
      <c r="H4" t="s">
        <v>14</v>
      </c>
      <c r="I4" t="s">
        <v>15</v>
      </c>
      <c r="J4" t="s">
        <v>16</v>
      </c>
      <c r="K4" t="s">
        <v>67</v>
      </c>
      <c r="L4" t="s">
        <v>93</v>
      </c>
      <c r="M4" t="s">
        <v>94</v>
      </c>
      <c r="N4" t="s">
        <v>95</v>
      </c>
      <c r="O4" t="s">
        <v>68</v>
      </c>
      <c r="P4" t="s">
        <v>96</v>
      </c>
      <c r="Q4" t="s">
        <v>24</v>
      </c>
      <c r="R4" t="s">
        <v>2</v>
      </c>
      <c r="S4" t="s">
        <v>3</v>
      </c>
      <c r="T4" t="s">
        <v>13</v>
      </c>
      <c r="U4" t="s">
        <v>30</v>
      </c>
      <c r="V4" t="s">
        <v>31</v>
      </c>
      <c r="W4" t="s">
        <v>32</v>
      </c>
      <c r="X4" t="s">
        <v>12</v>
      </c>
      <c r="Y4" t="s">
        <v>142</v>
      </c>
      <c r="Z4" t="s">
        <v>143</v>
      </c>
      <c r="AA4" t="s">
        <v>141</v>
      </c>
      <c r="AB4" t="s">
        <v>33</v>
      </c>
      <c r="AC4" t="s">
        <v>35</v>
      </c>
      <c r="AD4" t="s">
        <v>34</v>
      </c>
      <c r="AE4" t="s">
        <v>41</v>
      </c>
      <c r="AF4" t="s">
        <v>17</v>
      </c>
      <c r="AG4" t="s">
        <v>38</v>
      </c>
      <c r="AH4" t="s">
        <v>39</v>
      </c>
      <c r="AI4" t="s">
        <v>42</v>
      </c>
      <c r="AJ4" t="s">
        <v>43</v>
      </c>
      <c r="AK4" t="s">
        <v>25</v>
      </c>
      <c r="AL4" t="s">
        <v>37</v>
      </c>
      <c r="AM4" t="s">
        <v>64</v>
      </c>
      <c r="AN4" t="s">
        <v>54</v>
      </c>
      <c r="AO4" t="s">
        <v>51</v>
      </c>
      <c r="AP4" t="s">
        <v>52</v>
      </c>
      <c r="AQ4" t="s">
        <v>53</v>
      </c>
      <c r="AR4" t="s">
        <v>50</v>
      </c>
      <c r="AS4" t="s">
        <v>55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  <c r="AY4" t="s">
        <v>61</v>
      </c>
      <c r="AZ4" t="s">
        <v>72</v>
      </c>
      <c r="BA4" t="s">
        <v>63</v>
      </c>
      <c r="BB4" t="s">
        <v>21</v>
      </c>
      <c r="BC4" t="s">
        <v>19</v>
      </c>
    </row>
    <row r="5" spans="1:55" x14ac:dyDescent="0.7">
      <c r="A5" t="s">
        <v>146</v>
      </c>
      <c r="B5" t="s">
        <v>76</v>
      </c>
      <c r="E5">
        <v>0</v>
      </c>
      <c r="G5">
        <v>10</v>
      </c>
      <c r="BA5">
        <v>1000</v>
      </c>
    </row>
    <row r="6" spans="1:55" x14ac:dyDescent="0.7">
      <c r="A6" t="s">
        <v>69</v>
      </c>
      <c r="B6" t="s">
        <v>76</v>
      </c>
      <c r="D6">
        <v>50</v>
      </c>
      <c r="H6">
        <v>1</v>
      </c>
      <c r="S6">
        <v>100</v>
      </c>
    </row>
    <row r="7" spans="1:55" x14ac:dyDescent="0.7">
      <c r="A7" t="s">
        <v>70</v>
      </c>
      <c r="B7" t="s">
        <v>76</v>
      </c>
      <c r="D7">
        <v>50</v>
      </c>
      <c r="J7">
        <v>1</v>
      </c>
      <c r="T7">
        <v>100</v>
      </c>
    </row>
    <row r="8" spans="1:55" x14ac:dyDescent="0.7">
      <c r="A8" t="s">
        <v>73</v>
      </c>
      <c r="B8" t="s">
        <v>78</v>
      </c>
      <c r="E8">
        <v>50</v>
      </c>
      <c r="AH8">
        <v>1</v>
      </c>
    </row>
    <row r="9" spans="1:55" x14ac:dyDescent="0.7">
      <c r="A9" t="s">
        <v>77</v>
      </c>
      <c r="B9" t="s">
        <v>76</v>
      </c>
      <c r="E9">
        <v>50</v>
      </c>
      <c r="AO9">
        <v>10</v>
      </c>
      <c r="AP9">
        <v>10</v>
      </c>
      <c r="AQ9">
        <v>5</v>
      </c>
    </row>
    <row r="10" spans="1:55" x14ac:dyDescent="0.7">
      <c r="A10" t="s">
        <v>41</v>
      </c>
      <c r="B10" t="s">
        <v>80</v>
      </c>
      <c r="E10">
        <v>100</v>
      </c>
      <c r="AE10">
        <v>1</v>
      </c>
    </row>
    <row r="11" spans="1:55" x14ac:dyDescent="0.7">
      <c r="A11" t="s">
        <v>72</v>
      </c>
      <c r="B11" t="s">
        <v>76</v>
      </c>
      <c r="E11">
        <v>200</v>
      </c>
      <c r="AZ11">
        <v>10</v>
      </c>
    </row>
    <row r="12" spans="1:55" x14ac:dyDescent="0.7">
      <c r="A12" t="s">
        <v>79</v>
      </c>
      <c r="B12" t="s">
        <v>76</v>
      </c>
      <c r="D12">
        <v>150</v>
      </c>
      <c r="AG12">
        <v>50</v>
      </c>
      <c r="AK12">
        <v>1</v>
      </c>
      <c r="AL12">
        <v>1</v>
      </c>
    </row>
    <row r="13" spans="1:55" x14ac:dyDescent="0.7">
      <c r="A13" t="s">
        <v>17</v>
      </c>
      <c r="B13" t="s">
        <v>81</v>
      </c>
      <c r="D13">
        <v>400</v>
      </c>
      <c r="AF13">
        <v>1</v>
      </c>
    </row>
    <row r="14" spans="1:55" x14ac:dyDescent="0.7">
      <c r="A14" t="s">
        <v>82</v>
      </c>
      <c r="B14" t="s">
        <v>91</v>
      </c>
      <c r="E14">
        <v>1000</v>
      </c>
      <c r="K14">
        <v>1</v>
      </c>
    </row>
    <row r="15" spans="1:55" x14ac:dyDescent="0.7">
      <c r="A15" t="s">
        <v>83</v>
      </c>
      <c r="B15" t="s">
        <v>91</v>
      </c>
      <c r="E15">
        <v>1000</v>
      </c>
      <c r="L15">
        <v>1</v>
      </c>
    </row>
    <row r="16" spans="1:55" x14ac:dyDescent="0.7">
      <c r="A16" t="s">
        <v>84</v>
      </c>
      <c r="B16" t="s">
        <v>91</v>
      </c>
      <c r="E16">
        <v>1000</v>
      </c>
      <c r="M16">
        <v>1</v>
      </c>
    </row>
    <row r="17" spans="1:54" x14ac:dyDescent="0.7">
      <c r="A17" t="s">
        <v>85</v>
      </c>
      <c r="B17" t="s">
        <v>91</v>
      </c>
      <c r="E17">
        <v>1000</v>
      </c>
      <c r="N17">
        <v>1</v>
      </c>
    </row>
    <row r="18" spans="1:54" x14ac:dyDescent="0.7">
      <c r="A18" t="s">
        <v>86</v>
      </c>
      <c r="B18" t="s">
        <v>91</v>
      </c>
      <c r="E18">
        <v>1000</v>
      </c>
      <c r="O18">
        <v>1</v>
      </c>
    </row>
    <row r="19" spans="1:54" x14ac:dyDescent="0.7">
      <c r="A19" t="s">
        <v>87</v>
      </c>
      <c r="B19" t="s">
        <v>91</v>
      </c>
      <c r="D19">
        <v>1200</v>
      </c>
      <c r="P19">
        <v>1</v>
      </c>
    </row>
    <row r="20" spans="1:54" x14ac:dyDescent="0.7">
      <c r="A20" t="s">
        <v>88</v>
      </c>
      <c r="B20" t="s">
        <v>92</v>
      </c>
      <c r="D20">
        <v>1000</v>
      </c>
      <c r="G20">
        <v>1000</v>
      </c>
      <c r="H20">
        <v>10</v>
      </c>
      <c r="J20">
        <v>10</v>
      </c>
    </row>
    <row r="21" spans="1:54" x14ac:dyDescent="0.7">
      <c r="A21" t="s">
        <v>89</v>
      </c>
      <c r="B21" t="s">
        <v>92</v>
      </c>
      <c r="D21">
        <v>1000</v>
      </c>
      <c r="R21" t="s">
        <v>97</v>
      </c>
      <c r="BA21" t="s">
        <v>65</v>
      </c>
    </row>
    <row r="22" spans="1:54" x14ac:dyDescent="0.7">
      <c r="A22" t="s">
        <v>90</v>
      </c>
      <c r="B22" t="s">
        <v>92</v>
      </c>
      <c r="D22">
        <v>3000</v>
      </c>
      <c r="Q22">
        <v>1</v>
      </c>
    </row>
    <row r="23" spans="1:54" x14ac:dyDescent="0.7">
      <c r="A23" t="s">
        <v>148</v>
      </c>
      <c r="B23" t="s">
        <v>147</v>
      </c>
      <c r="E23">
        <v>0</v>
      </c>
      <c r="BB23" t="s">
        <v>150</v>
      </c>
    </row>
    <row r="24" spans="1:54" x14ac:dyDescent="0.7">
      <c r="A24" t="s">
        <v>148</v>
      </c>
      <c r="B24" t="s">
        <v>147</v>
      </c>
      <c r="E24">
        <v>300</v>
      </c>
      <c r="BB24" t="s">
        <v>150</v>
      </c>
    </row>
    <row r="25" spans="1:54" x14ac:dyDescent="0.7">
      <c r="A25" t="s">
        <v>148</v>
      </c>
      <c r="B25" t="s">
        <v>149</v>
      </c>
      <c r="D25">
        <v>200</v>
      </c>
      <c r="BB25" t="s">
        <v>150</v>
      </c>
    </row>
    <row r="26" spans="1:54" x14ac:dyDescent="0.7">
      <c r="A26" t="s">
        <v>181</v>
      </c>
      <c r="B26" t="s">
        <v>124</v>
      </c>
      <c r="D26">
        <v>300</v>
      </c>
      <c r="BB26" t="s">
        <v>187</v>
      </c>
    </row>
    <row r="27" spans="1:54" x14ac:dyDescent="0.7">
      <c r="A27" t="s">
        <v>182</v>
      </c>
      <c r="B27" t="s">
        <v>124</v>
      </c>
      <c r="D27">
        <v>300</v>
      </c>
      <c r="BB27" t="s">
        <v>188</v>
      </c>
    </row>
    <row r="28" spans="1:54" x14ac:dyDescent="0.7">
      <c r="A28" t="s">
        <v>183</v>
      </c>
      <c r="B28" t="s">
        <v>124</v>
      </c>
      <c r="D28">
        <v>300</v>
      </c>
      <c r="BB28" t="s">
        <v>189</v>
      </c>
    </row>
    <row r="29" spans="1:54" x14ac:dyDescent="0.7">
      <c r="A29" t="s">
        <v>184</v>
      </c>
      <c r="B29" t="s">
        <v>124</v>
      </c>
      <c r="D29">
        <v>300</v>
      </c>
      <c r="BB29" t="s">
        <v>190</v>
      </c>
    </row>
    <row r="30" spans="1:54" x14ac:dyDescent="0.7">
      <c r="A30" t="s">
        <v>185</v>
      </c>
      <c r="B30" t="s">
        <v>124</v>
      </c>
      <c r="D30">
        <v>300</v>
      </c>
      <c r="BB30" t="s">
        <v>191</v>
      </c>
    </row>
    <row r="31" spans="1:54" x14ac:dyDescent="0.7">
      <c r="A31" t="s">
        <v>186</v>
      </c>
      <c r="B31" t="s">
        <v>124</v>
      </c>
      <c r="D31">
        <v>300</v>
      </c>
      <c r="BB31" t="s">
        <v>186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DB2A-7A8E-4F62-8B5C-AEF03A52885B}">
  <dimension ref="A1:BC8"/>
  <sheetViews>
    <sheetView workbookViewId="0"/>
  </sheetViews>
  <sheetFormatPr defaultRowHeight="17.649999999999999" x14ac:dyDescent="0.7"/>
  <sheetData>
    <row r="1" spans="1:55" x14ac:dyDescent="0.7">
      <c r="A1" t="s">
        <v>26</v>
      </c>
      <c r="F1" t="s">
        <v>40</v>
      </c>
      <c r="BC1" t="s">
        <v>19</v>
      </c>
    </row>
    <row r="2" spans="1:55" x14ac:dyDescent="0.7">
      <c r="C2" t="s">
        <v>113</v>
      </c>
      <c r="F2" t="s">
        <v>1</v>
      </c>
      <c r="H2" t="s">
        <v>27</v>
      </c>
      <c r="S2" t="s">
        <v>3</v>
      </c>
      <c r="U2" t="s">
        <v>28</v>
      </c>
      <c r="AI2" t="s">
        <v>48</v>
      </c>
      <c r="AZ2" t="s">
        <v>21</v>
      </c>
    </row>
    <row r="3" spans="1:55" x14ac:dyDescent="0.7">
      <c r="D3" t="s">
        <v>71</v>
      </c>
      <c r="K3" t="s">
        <v>98</v>
      </c>
      <c r="U3" t="s">
        <v>36</v>
      </c>
      <c r="W3" t="s">
        <v>47</v>
      </c>
      <c r="AB3" t="s">
        <v>46</v>
      </c>
      <c r="AE3" t="s">
        <v>45</v>
      </c>
      <c r="AG3" t="s">
        <v>44</v>
      </c>
      <c r="AI3" t="s">
        <v>29</v>
      </c>
      <c r="AM3" t="s">
        <v>49</v>
      </c>
    </row>
    <row r="4" spans="1:55" x14ac:dyDescent="0.7">
      <c r="A4" t="s">
        <v>0</v>
      </c>
      <c r="B4" t="s">
        <v>74</v>
      </c>
      <c r="C4" t="s">
        <v>4</v>
      </c>
      <c r="D4" t="s">
        <v>156</v>
      </c>
      <c r="E4" t="s">
        <v>157</v>
      </c>
      <c r="F4" t="s">
        <v>10</v>
      </c>
      <c r="G4" t="s">
        <v>9</v>
      </c>
      <c r="H4" t="s">
        <v>14</v>
      </c>
      <c r="I4" t="s">
        <v>15</v>
      </c>
      <c r="J4" t="s">
        <v>16</v>
      </c>
      <c r="K4" t="s">
        <v>67</v>
      </c>
      <c r="L4" t="s">
        <v>93</v>
      </c>
      <c r="M4" t="s">
        <v>94</v>
      </c>
      <c r="N4" t="s">
        <v>95</v>
      </c>
      <c r="O4" t="s">
        <v>68</v>
      </c>
      <c r="P4" t="s">
        <v>96</v>
      </c>
      <c r="Q4" t="s">
        <v>24</v>
      </c>
      <c r="R4" t="s">
        <v>2</v>
      </c>
      <c r="S4" t="s">
        <v>3</v>
      </c>
      <c r="T4" t="s">
        <v>13</v>
      </c>
      <c r="U4" t="s">
        <v>30</v>
      </c>
      <c r="V4" t="s">
        <v>31</v>
      </c>
      <c r="W4" t="s">
        <v>32</v>
      </c>
      <c r="X4" t="s">
        <v>12</v>
      </c>
      <c r="Y4" t="s">
        <v>142</v>
      </c>
      <c r="Z4" t="s">
        <v>143</v>
      </c>
      <c r="AA4" t="s">
        <v>141</v>
      </c>
      <c r="AB4" t="s">
        <v>33</v>
      </c>
      <c r="AC4" t="s">
        <v>35</v>
      </c>
      <c r="AD4" t="s">
        <v>34</v>
      </c>
      <c r="AE4" t="s">
        <v>41</v>
      </c>
      <c r="AF4" t="s">
        <v>17</v>
      </c>
      <c r="AG4" t="s">
        <v>38</v>
      </c>
      <c r="AH4" t="s">
        <v>39</v>
      </c>
      <c r="AI4" t="s">
        <v>42</v>
      </c>
      <c r="AJ4" t="s">
        <v>43</v>
      </c>
      <c r="AK4" t="s">
        <v>25</v>
      </c>
      <c r="AL4" t="s">
        <v>37</v>
      </c>
      <c r="AM4" t="s">
        <v>64</v>
      </c>
      <c r="AN4" t="s">
        <v>54</v>
      </c>
      <c r="AO4" t="s">
        <v>51</v>
      </c>
      <c r="AP4" t="s">
        <v>52</v>
      </c>
      <c r="AQ4" t="s">
        <v>53</v>
      </c>
      <c r="AR4" t="s">
        <v>50</v>
      </c>
      <c r="AS4" t="s">
        <v>55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  <c r="AY4" t="s">
        <v>61</v>
      </c>
      <c r="AZ4" t="s">
        <v>72</v>
      </c>
      <c r="BA4" t="s">
        <v>63</v>
      </c>
      <c r="BB4" t="s">
        <v>21</v>
      </c>
      <c r="BC4" t="s">
        <v>19</v>
      </c>
    </row>
    <row r="5" spans="1:55" x14ac:dyDescent="0.7">
      <c r="A5" t="s">
        <v>99</v>
      </c>
      <c r="B5" t="s">
        <v>127</v>
      </c>
      <c r="C5">
        <v>300</v>
      </c>
      <c r="F5">
        <f>30*10+80+60</f>
        <v>440</v>
      </c>
      <c r="G5">
        <f>30*20</f>
        <v>600</v>
      </c>
    </row>
    <row r="6" spans="1:55" x14ac:dyDescent="0.7">
      <c r="A6" t="s">
        <v>100</v>
      </c>
      <c r="B6" t="s">
        <v>127</v>
      </c>
      <c r="C6">
        <v>1000</v>
      </c>
      <c r="F6">
        <f>1000+300+200</f>
        <v>1500</v>
      </c>
      <c r="G6">
        <v>2000</v>
      </c>
      <c r="BB6" t="s">
        <v>104</v>
      </c>
    </row>
    <row r="7" spans="1:55" x14ac:dyDescent="0.7">
      <c r="A7" t="s">
        <v>101</v>
      </c>
      <c r="B7" t="s">
        <v>127</v>
      </c>
      <c r="C7">
        <v>680</v>
      </c>
      <c r="T7">
        <f>120*30+300+300</f>
        <v>4200</v>
      </c>
      <c r="BB7" t="s">
        <v>103</v>
      </c>
    </row>
    <row r="8" spans="1:55" x14ac:dyDescent="0.7">
      <c r="A8" t="s">
        <v>102</v>
      </c>
      <c r="B8" t="s">
        <v>127</v>
      </c>
      <c r="C8">
        <v>680</v>
      </c>
      <c r="T8">
        <f>50*30+100+100</f>
        <v>1700</v>
      </c>
      <c r="BB8" t="s">
        <v>105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F9BE-75D8-414C-AF65-D23D01C5AD8A}">
  <dimension ref="A1:BD11"/>
  <sheetViews>
    <sheetView workbookViewId="0"/>
  </sheetViews>
  <sheetFormatPr defaultRowHeight="17.649999999999999" x14ac:dyDescent="0.7"/>
  <sheetData>
    <row r="1" spans="1:56" x14ac:dyDescent="0.7">
      <c r="A1" t="s">
        <v>26</v>
      </c>
      <c r="F1" t="s">
        <v>40</v>
      </c>
      <c r="BD1" t="s">
        <v>19</v>
      </c>
    </row>
    <row r="2" spans="1:56" x14ac:dyDescent="0.7">
      <c r="C2" t="s">
        <v>113</v>
      </c>
      <c r="F2" t="s">
        <v>1</v>
      </c>
      <c r="I2" t="s">
        <v>27</v>
      </c>
      <c r="T2" t="s">
        <v>3</v>
      </c>
      <c r="V2" t="s">
        <v>28</v>
      </c>
      <c r="AJ2" t="s">
        <v>48</v>
      </c>
      <c r="BA2" t="s">
        <v>21</v>
      </c>
    </row>
    <row r="3" spans="1:56" x14ac:dyDescent="0.7">
      <c r="D3" t="s">
        <v>71</v>
      </c>
      <c r="L3" t="s">
        <v>98</v>
      </c>
      <c r="V3" t="s">
        <v>36</v>
      </c>
      <c r="X3" t="s">
        <v>47</v>
      </c>
      <c r="AC3" t="s">
        <v>46</v>
      </c>
      <c r="AF3" t="s">
        <v>45</v>
      </c>
      <c r="AH3" t="s">
        <v>44</v>
      </c>
      <c r="AJ3" t="s">
        <v>29</v>
      </c>
      <c r="AN3" t="s">
        <v>49</v>
      </c>
    </row>
    <row r="4" spans="1:56" x14ac:dyDescent="0.7">
      <c r="A4" t="s">
        <v>0</v>
      </c>
      <c r="B4" t="s">
        <v>74</v>
      </c>
      <c r="C4" t="s">
        <v>4</v>
      </c>
      <c r="D4" t="s">
        <v>156</v>
      </c>
      <c r="E4" t="s">
        <v>157</v>
      </c>
      <c r="F4" t="s">
        <v>10</v>
      </c>
      <c r="G4" t="s">
        <v>9</v>
      </c>
      <c r="H4" t="s">
        <v>114</v>
      </c>
      <c r="I4" t="s">
        <v>14</v>
      </c>
      <c r="J4" t="s">
        <v>15</v>
      </c>
      <c r="K4" t="s">
        <v>16</v>
      </c>
      <c r="L4" t="s">
        <v>67</v>
      </c>
      <c r="M4" t="s">
        <v>93</v>
      </c>
      <c r="N4" t="s">
        <v>94</v>
      </c>
      <c r="O4" t="s">
        <v>95</v>
      </c>
      <c r="P4" t="s">
        <v>68</v>
      </c>
      <c r="Q4" t="s">
        <v>96</v>
      </c>
      <c r="R4" t="s">
        <v>24</v>
      </c>
      <c r="S4" t="s">
        <v>2</v>
      </c>
      <c r="T4" t="s">
        <v>3</v>
      </c>
      <c r="U4" t="s">
        <v>13</v>
      </c>
      <c r="V4" t="s">
        <v>30</v>
      </c>
      <c r="W4" t="s">
        <v>31</v>
      </c>
      <c r="X4" t="s">
        <v>32</v>
      </c>
      <c r="Y4" t="s">
        <v>12</v>
      </c>
      <c r="Z4" t="s">
        <v>142</v>
      </c>
      <c r="AA4" t="s">
        <v>143</v>
      </c>
      <c r="AB4" t="s">
        <v>141</v>
      </c>
      <c r="AC4" t="s">
        <v>33</v>
      </c>
      <c r="AD4" t="s">
        <v>35</v>
      </c>
      <c r="AE4" t="s">
        <v>34</v>
      </c>
      <c r="AF4" t="s">
        <v>41</v>
      </c>
      <c r="AG4" t="s">
        <v>17</v>
      </c>
      <c r="AH4" t="s">
        <v>38</v>
      </c>
      <c r="AI4" t="s">
        <v>39</v>
      </c>
      <c r="AJ4" t="s">
        <v>42</v>
      </c>
      <c r="AK4" t="s">
        <v>43</v>
      </c>
      <c r="AL4" t="s">
        <v>25</v>
      </c>
      <c r="AM4" t="s">
        <v>37</v>
      </c>
      <c r="AN4" t="s">
        <v>64</v>
      </c>
      <c r="AO4" t="s">
        <v>54</v>
      </c>
      <c r="AP4" t="s">
        <v>51</v>
      </c>
      <c r="AQ4" t="s">
        <v>52</v>
      </c>
      <c r="AR4" t="s">
        <v>53</v>
      </c>
      <c r="AS4" t="s">
        <v>50</v>
      </c>
      <c r="AT4" t="s">
        <v>55</v>
      </c>
      <c r="AU4" t="s">
        <v>56</v>
      </c>
      <c r="AV4" t="s">
        <v>57</v>
      </c>
      <c r="AW4" t="s">
        <v>58</v>
      </c>
      <c r="AX4" t="s">
        <v>59</v>
      </c>
      <c r="AY4" t="s">
        <v>60</v>
      </c>
      <c r="AZ4" t="s">
        <v>61</v>
      </c>
      <c r="BA4" t="s">
        <v>72</v>
      </c>
      <c r="BB4" t="s">
        <v>63</v>
      </c>
      <c r="BC4" t="s">
        <v>21</v>
      </c>
      <c r="BD4" t="s">
        <v>19</v>
      </c>
    </row>
    <row r="5" spans="1:56" x14ac:dyDescent="0.7">
      <c r="A5" t="s">
        <v>106</v>
      </c>
      <c r="B5" t="s">
        <v>123</v>
      </c>
      <c r="C5">
        <v>160</v>
      </c>
      <c r="F5">
        <v>60</v>
      </c>
    </row>
    <row r="6" spans="1:56" x14ac:dyDescent="0.7">
      <c r="A6" t="s">
        <v>107</v>
      </c>
      <c r="B6" t="s">
        <v>123</v>
      </c>
      <c r="C6">
        <v>680</v>
      </c>
      <c r="F6">
        <v>300</v>
      </c>
    </row>
    <row r="7" spans="1:56" x14ac:dyDescent="0.7">
      <c r="A7" t="s">
        <v>108</v>
      </c>
      <c r="B7" t="s">
        <v>123</v>
      </c>
      <c r="C7">
        <v>1600</v>
      </c>
      <c r="F7">
        <v>680</v>
      </c>
    </row>
    <row r="8" spans="1:56" x14ac:dyDescent="0.7">
      <c r="A8" t="s">
        <v>109</v>
      </c>
      <c r="B8" t="s">
        <v>123</v>
      </c>
      <c r="C8">
        <v>3000</v>
      </c>
      <c r="F8">
        <v>1280</v>
      </c>
    </row>
    <row r="9" spans="1:56" x14ac:dyDescent="0.7">
      <c r="A9" t="s">
        <v>110</v>
      </c>
      <c r="B9" t="s">
        <v>123</v>
      </c>
      <c r="C9">
        <v>4500</v>
      </c>
      <c r="F9">
        <v>1980</v>
      </c>
    </row>
    <row r="10" spans="1:56" x14ac:dyDescent="0.7">
      <c r="A10" t="s">
        <v>111</v>
      </c>
      <c r="B10" t="s">
        <v>123</v>
      </c>
      <c r="C10">
        <v>7500</v>
      </c>
      <c r="F10">
        <v>3280</v>
      </c>
    </row>
    <row r="11" spans="1:56" x14ac:dyDescent="0.7">
      <c r="A11" t="s">
        <v>112</v>
      </c>
      <c r="B11" t="s">
        <v>123</v>
      </c>
      <c r="C11">
        <v>12800</v>
      </c>
      <c r="F11">
        <v>6480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B17A-8583-4181-9564-2AB712C7A837}">
  <dimension ref="A1:BD12"/>
  <sheetViews>
    <sheetView workbookViewId="0"/>
  </sheetViews>
  <sheetFormatPr defaultRowHeight="17.649999999999999" x14ac:dyDescent="0.7"/>
  <sheetData>
    <row r="1" spans="1:56" x14ac:dyDescent="0.7">
      <c r="A1" t="s">
        <v>26</v>
      </c>
      <c r="F1" t="s">
        <v>40</v>
      </c>
      <c r="BD1" t="s">
        <v>19</v>
      </c>
    </row>
    <row r="2" spans="1:56" x14ac:dyDescent="0.7">
      <c r="C2" t="s">
        <v>113</v>
      </c>
      <c r="F2" t="s">
        <v>1</v>
      </c>
      <c r="I2" t="s">
        <v>27</v>
      </c>
      <c r="T2" t="s">
        <v>3</v>
      </c>
      <c r="V2" t="s">
        <v>28</v>
      </c>
      <c r="AJ2" t="s">
        <v>48</v>
      </c>
      <c r="BA2" t="s">
        <v>21</v>
      </c>
    </row>
    <row r="3" spans="1:56" x14ac:dyDescent="0.7">
      <c r="D3" t="s">
        <v>71</v>
      </c>
      <c r="L3" t="s">
        <v>98</v>
      </c>
      <c r="V3" t="s">
        <v>36</v>
      </c>
      <c r="X3" t="s">
        <v>47</v>
      </c>
      <c r="AC3" t="s">
        <v>46</v>
      </c>
      <c r="AF3" t="s">
        <v>45</v>
      </c>
      <c r="AH3" t="s">
        <v>44</v>
      </c>
      <c r="AJ3" t="s">
        <v>29</v>
      </c>
      <c r="AN3" t="s">
        <v>49</v>
      </c>
    </row>
    <row r="4" spans="1:56" x14ac:dyDescent="0.7">
      <c r="A4" t="s">
        <v>0</v>
      </c>
      <c r="B4" t="s">
        <v>74</v>
      </c>
      <c r="C4" t="s">
        <v>4</v>
      </c>
      <c r="D4" t="s">
        <v>156</v>
      </c>
      <c r="E4" t="s">
        <v>157</v>
      </c>
      <c r="F4" t="s">
        <v>10</v>
      </c>
      <c r="G4" t="s">
        <v>9</v>
      </c>
      <c r="H4" t="s">
        <v>114</v>
      </c>
      <c r="I4" t="s">
        <v>14</v>
      </c>
      <c r="J4" t="s">
        <v>15</v>
      </c>
      <c r="K4" t="s">
        <v>16</v>
      </c>
      <c r="L4" t="s">
        <v>67</v>
      </c>
      <c r="M4" t="s">
        <v>93</v>
      </c>
      <c r="N4" t="s">
        <v>94</v>
      </c>
      <c r="O4" t="s">
        <v>95</v>
      </c>
      <c r="P4" t="s">
        <v>68</v>
      </c>
      <c r="Q4" t="s">
        <v>96</v>
      </c>
      <c r="R4" t="s">
        <v>24</v>
      </c>
      <c r="S4" t="s">
        <v>2</v>
      </c>
      <c r="T4" t="s">
        <v>3</v>
      </c>
      <c r="U4" t="s">
        <v>13</v>
      </c>
      <c r="V4" t="s">
        <v>30</v>
      </c>
      <c r="W4" t="s">
        <v>31</v>
      </c>
      <c r="X4" t="s">
        <v>32</v>
      </c>
      <c r="Y4" t="s">
        <v>12</v>
      </c>
      <c r="Z4" t="s">
        <v>142</v>
      </c>
      <c r="AA4" t="s">
        <v>143</v>
      </c>
      <c r="AB4" t="s">
        <v>141</v>
      </c>
      <c r="AC4" t="s">
        <v>33</v>
      </c>
      <c r="AD4" t="s">
        <v>35</v>
      </c>
      <c r="AE4" t="s">
        <v>34</v>
      </c>
      <c r="AF4" t="s">
        <v>41</v>
      </c>
      <c r="AG4" t="s">
        <v>17</v>
      </c>
      <c r="AH4" t="s">
        <v>38</v>
      </c>
      <c r="AI4" t="s">
        <v>39</v>
      </c>
      <c r="AJ4" t="s">
        <v>42</v>
      </c>
      <c r="AK4" t="s">
        <v>43</v>
      </c>
      <c r="AL4" t="s">
        <v>25</v>
      </c>
      <c r="AM4" t="s">
        <v>37</v>
      </c>
      <c r="AN4" t="s">
        <v>64</v>
      </c>
      <c r="AO4" t="s">
        <v>54</v>
      </c>
      <c r="AP4" t="s">
        <v>51</v>
      </c>
      <c r="AQ4" t="s">
        <v>52</v>
      </c>
      <c r="AR4" t="s">
        <v>53</v>
      </c>
      <c r="AS4" t="s">
        <v>50</v>
      </c>
      <c r="AT4" t="s">
        <v>55</v>
      </c>
      <c r="AU4" t="s">
        <v>56</v>
      </c>
      <c r="AV4" t="s">
        <v>57</v>
      </c>
      <c r="AW4" t="s">
        <v>58</v>
      </c>
      <c r="AX4" t="s">
        <v>59</v>
      </c>
      <c r="AY4" t="s">
        <v>60</v>
      </c>
      <c r="AZ4" t="s">
        <v>61</v>
      </c>
      <c r="BA4" t="s">
        <v>72</v>
      </c>
      <c r="BB4" t="s">
        <v>63</v>
      </c>
      <c r="BC4" t="s">
        <v>21</v>
      </c>
      <c r="BD4" t="s">
        <v>19</v>
      </c>
    </row>
    <row r="5" spans="1:56" x14ac:dyDescent="0.7">
      <c r="A5" t="s">
        <v>152</v>
      </c>
      <c r="B5" t="s">
        <v>91</v>
      </c>
      <c r="E5">
        <v>0</v>
      </c>
      <c r="G5">
        <v>50</v>
      </c>
      <c r="BB5">
        <v>5000</v>
      </c>
    </row>
    <row r="6" spans="1:56" x14ac:dyDescent="0.7">
      <c r="A6" t="s">
        <v>115</v>
      </c>
      <c r="B6" t="s">
        <v>91</v>
      </c>
      <c r="C6">
        <v>160</v>
      </c>
      <c r="I6">
        <v>3</v>
      </c>
      <c r="K6">
        <v>3</v>
      </c>
      <c r="AI6">
        <v>3</v>
      </c>
    </row>
    <row r="7" spans="1:56" x14ac:dyDescent="0.7">
      <c r="A7" t="s">
        <v>116</v>
      </c>
      <c r="B7" t="s">
        <v>122</v>
      </c>
      <c r="C7">
        <v>300</v>
      </c>
      <c r="F7">
        <v>80</v>
      </c>
      <c r="AJ7">
        <v>10</v>
      </c>
      <c r="AK7">
        <v>10</v>
      </c>
      <c r="AL7">
        <v>5</v>
      </c>
      <c r="AM7">
        <v>3</v>
      </c>
    </row>
    <row r="8" spans="1:56" x14ac:dyDescent="0.7">
      <c r="A8" t="s">
        <v>117</v>
      </c>
      <c r="B8" t="s">
        <v>122</v>
      </c>
      <c r="C8">
        <v>680</v>
      </c>
      <c r="F8">
        <v>200</v>
      </c>
      <c r="T8">
        <v>300</v>
      </c>
      <c r="U8">
        <v>300</v>
      </c>
      <c r="Y8">
        <v>1000</v>
      </c>
    </row>
    <row r="9" spans="1:56" x14ac:dyDescent="0.7">
      <c r="A9" t="s">
        <v>118</v>
      </c>
      <c r="B9" t="s">
        <v>122</v>
      </c>
      <c r="C9">
        <v>1000</v>
      </c>
      <c r="F9">
        <v>300</v>
      </c>
      <c r="AC9">
        <v>600</v>
      </c>
      <c r="AD9">
        <v>500</v>
      </c>
      <c r="AE9">
        <v>200</v>
      </c>
    </row>
    <row r="10" spans="1:56" x14ac:dyDescent="0.7">
      <c r="A10" t="s">
        <v>119</v>
      </c>
      <c r="B10" t="s">
        <v>122</v>
      </c>
      <c r="C10">
        <v>2400</v>
      </c>
      <c r="I10">
        <v>20</v>
      </c>
      <c r="AG10">
        <v>2</v>
      </c>
    </row>
    <row r="11" spans="1:56" x14ac:dyDescent="0.7">
      <c r="A11" t="s">
        <v>120</v>
      </c>
      <c r="B11" t="s">
        <v>122</v>
      </c>
      <c r="C11">
        <v>2400</v>
      </c>
      <c r="F11">
        <v>600</v>
      </c>
      <c r="AH11">
        <v>200</v>
      </c>
      <c r="AI11">
        <v>20</v>
      </c>
    </row>
    <row r="12" spans="1:56" x14ac:dyDescent="0.7">
      <c r="A12" t="s">
        <v>121</v>
      </c>
      <c r="B12" t="s">
        <v>122</v>
      </c>
      <c r="C12">
        <v>5200</v>
      </c>
      <c r="F12">
        <v>1500</v>
      </c>
      <c r="I12">
        <v>50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03DD-0EA4-4995-A629-3B5702BA1C46}">
  <dimension ref="A1:BD14"/>
  <sheetViews>
    <sheetView workbookViewId="0"/>
  </sheetViews>
  <sheetFormatPr defaultRowHeight="17.649999999999999" x14ac:dyDescent="0.7"/>
  <sheetData>
    <row r="1" spans="1:56" x14ac:dyDescent="0.7">
      <c r="A1" t="s">
        <v>26</v>
      </c>
      <c r="F1" t="s">
        <v>40</v>
      </c>
      <c r="BD1" t="s">
        <v>19</v>
      </c>
    </row>
    <row r="2" spans="1:56" x14ac:dyDescent="0.7">
      <c r="C2" t="s">
        <v>113</v>
      </c>
      <c r="F2" t="s">
        <v>1</v>
      </c>
      <c r="I2" t="s">
        <v>27</v>
      </c>
      <c r="T2" t="s">
        <v>3</v>
      </c>
      <c r="V2" t="s">
        <v>28</v>
      </c>
      <c r="AJ2" t="s">
        <v>48</v>
      </c>
      <c r="BA2" t="s">
        <v>21</v>
      </c>
    </row>
    <row r="3" spans="1:56" x14ac:dyDescent="0.7">
      <c r="D3" t="s">
        <v>71</v>
      </c>
      <c r="L3" t="s">
        <v>98</v>
      </c>
      <c r="V3" t="s">
        <v>36</v>
      </c>
      <c r="X3" t="s">
        <v>47</v>
      </c>
      <c r="AC3" t="s">
        <v>46</v>
      </c>
      <c r="AF3" t="s">
        <v>45</v>
      </c>
      <c r="AH3" t="s">
        <v>44</v>
      </c>
      <c r="AJ3" t="s">
        <v>29</v>
      </c>
      <c r="AN3" t="s">
        <v>49</v>
      </c>
    </row>
    <row r="4" spans="1:56" x14ac:dyDescent="0.7">
      <c r="A4" t="s">
        <v>0</v>
      </c>
      <c r="B4" t="s">
        <v>74</v>
      </c>
      <c r="C4" t="s">
        <v>4</v>
      </c>
      <c r="D4" t="s">
        <v>156</v>
      </c>
      <c r="E4" t="s">
        <v>157</v>
      </c>
      <c r="F4" t="s">
        <v>10</v>
      </c>
      <c r="G4" t="s">
        <v>9</v>
      </c>
      <c r="H4" t="s">
        <v>114</v>
      </c>
      <c r="I4" t="s">
        <v>14</v>
      </c>
      <c r="J4" t="s">
        <v>15</v>
      </c>
      <c r="K4" t="s">
        <v>16</v>
      </c>
      <c r="L4" t="s">
        <v>67</v>
      </c>
      <c r="M4" t="s">
        <v>93</v>
      </c>
      <c r="N4" t="s">
        <v>94</v>
      </c>
      <c r="O4" t="s">
        <v>95</v>
      </c>
      <c r="P4" t="s">
        <v>68</v>
      </c>
      <c r="Q4" t="s">
        <v>96</v>
      </c>
      <c r="R4" t="s">
        <v>24</v>
      </c>
      <c r="S4" t="s">
        <v>2</v>
      </c>
      <c r="T4" t="s">
        <v>3</v>
      </c>
      <c r="U4" t="s">
        <v>13</v>
      </c>
      <c r="V4" t="s">
        <v>30</v>
      </c>
      <c r="W4" t="s">
        <v>31</v>
      </c>
      <c r="X4" t="s">
        <v>32</v>
      </c>
      <c r="Y4" t="s">
        <v>12</v>
      </c>
      <c r="Z4" t="s">
        <v>142</v>
      </c>
      <c r="AA4" t="s">
        <v>143</v>
      </c>
      <c r="AB4" t="s">
        <v>141</v>
      </c>
      <c r="AC4" t="s">
        <v>33</v>
      </c>
      <c r="AD4" t="s">
        <v>35</v>
      </c>
      <c r="AE4" t="s">
        <v>34</v>
      </c>
      <c r="AF4" t="s">
        <v>41</v>
      </c>
      <c r="AG4" t="s">
        <v>17</v>
      </c>
      <c r="AH4" t="s">
        <v>38</v>
      </c>
      <c r="AI4" t="s">
        <v>39</v>
      </c>
      <c r="AJ4" t="s">
        <v>42</v>
      </c>
      <c r="AK4" t="s">
        <v>43</v>
      </c>
      <c r="AL4" t="s">
        <v>25</v>
      </c>
      <c r="AM4" t="s">
        <v>37</v>
      </c>
      <c r="AN4" t="s">
        <v>64</v>
      </c>
      <c r="AO4" t="s">
        <v>54</v>
      </c>
      <c r="AP4" t="s">
        <v>51</v>
      </c>
      <c r="AQ4" t="s">
        <v>52</v>
      </c>
      <c r="AR4" t="s">
        <v>53</v>
      </c>
      <c r="AS4" t="s">
        <v>50</v>
      </c>
      <c r="AT4" t="s">
        <v>55</v>
      </c>
      <c r="AU4" t="s">
        <v>56</v>
      </c>
      <c r="AV4" t="s">
        <v>57</v>
      </c>
      <c r="AW4" t="s">
        <v>58</v>
      </c>
      <c r="AX4" t="s">
        <v>59</v>
      </c>
      <c r="AY4" t="s">
        <v>60</v>
      </c>
      <c r="AZ4" t="s">
        <v>61</v>
      </c>
      <c r="BA4" t="s">
        <v>72</v>
      </c>
      <c r="BB4" t="s">
        <v>63</v>
      </c>
      <c r="BC4" t="s">
        <v>21</v>
      </c>
      <c r="BD4" t="s">
        <v>19</v>
      </c>
    </row>
    <row r="5" spans="1:56" x14ac:dyDescent="0.7">
      <c r="A5" t="s">
        <v>153</v>
      </c>
      <c r="B5" t="s">
        <v>92</v>
      </c>
      <c r="E5">
        <v>0</v>
      </c>
      <c r="G5">
        <v>100</v>
      </c>
      <c r="BB5" t="s">
        <v>154</v>
      </c>
    </row>
    <row r="6" spans="1:56" x14ac:dyDescent="0.7">
      <c r="A6" t="s">
        <v>128</v>
      </c>
      <c r="B6" t="s">
        <v>137</v>
      </c>
      <c r="C6">
        <v>300</v>
      </c>
      <c r="F6">
        <v>80</v>
      </c>
      <c r="AW6">
        <v>100</v>
      </c>
      <c r="AX6">
        <v>100</v>
      </c>
      <c r="AY6">
        <v>50</v>
      </c>
      <c r="AZ6">
        <v>30</v>
      </c>
    </row>
    <row r="7" spans="1:56" x14ac:dyDescent="0.7">
      <c r="A7" t="s">
        <v>129</v>
      </c>
      <c r="B7" t="s">
        <v>137</v>
      </c>
      <c r="C7">
        <v>300</v>
      </c>
      <c r="F7">
        <v>80</v>
      </c>
      <c r="AO7">
        <v>30</v>
      </c>
      <c r="AP7">
        <v>30</v>
      </c>
      <c r="AQ7">
        <v>10</v>
      </c>
      <c r="AR7">
        <v>30</v>
      </c>
    </row>
    <row r="8" spans="1:56" x14ac:dyDescent="0.7">
      <c r="A8" t="s">
        <v>130</v>
      </c>
      <c r="B8" t="s">
        <v>137</v>
      </c>
      <c r="C8">
        <v>1000</v>
      </c>
      <c r="F8">
        <v>300</v>
      </c>
      <c r="AT8">
        <v>30</v>
      </c>
      <c r="AU8">
        <v>30</v>
      </c>
      <c r="AV8">
        <v>15</v>
      </c>
    </row>
    <row r="9" spans="1:56" x14ac:dyDescent="0.7">
      <c r="A9" t="s">
        <v>131</v>
      </c>
      <c r="B9" t="s">
        <v>138</v>
      </c>
      <c r="C9">
        <v>2400</v>
      </c>
      <c r="F9">
        <v>600</v>
      </c>
      <c r="X9" t="s">
        <v>140</v>
      </c>
      <c r="Y9">
        <v>1500</v>
      </c>
      <c r="BB9" t="s">
        <v>139</v>
      </c>
    </row>
    <row r="10" spans="1:56" x14ac:dyDescent="0.7">
      <c r="A10" t="s">
        <v>132</v>
      </c>
      <c r="B10" t="s">
        <v>137</v>
      </c>
      <c r="C10">
        <v>1000</v>
      </c>
      <c r="F10">
        <v>300</v>
      </c>
      <c r="X10" t="s">
        <v>144</v>
      </c>
      <c r="AB10">
        <v>20</v>
      </c>
    </row>
    <row r="11" spans="1:56" x14ac:dyDescent="0.7">
      <c r="A11" t="s">
        <v>133</v>
      </c>
      <c r="B11" t="s">
        <v>137</v>
      </c>
      <c r="C11">
        <v>3000</v>
      </c>
      <c r="F11">
        <v>850</v>
      </c>
      <c r="AG11">
        <v>6</v>
      </c>
    </row>
    <row r="12" spans="1:56" x14ac:dyDescent="0.7">
      <c r="A12" t="s">
        <v>134</v>
      </c>
      <c r="B12" t="s">
        <v>137</v>
      </c>
      <c r="C12">
        <v>5200</v>
      </c>
      <c r="F12">
        <v>1500</v>
      </c>
      <c r="G12">
        <v>1500</v>
      </c>
    </row>
    <row r="13" spans="1:56" x14ac:dyDescent="0.7">
      <c r="A13" t="s">
        <v>135</v>
      </c>
      <c r="B13" t="s">
        <v>137</v>
      </c>
      <c r="C13">
        <v>10000</v>
      </c>
      <c r="I13">
        <v>100</v>
      </c>
      <c r="T13">
        <v>1000</v>
      </c>
      <c r="U13">
        <v>1000</v>
      </c>
    </row>
    <row r="14" spans="1:56" x14ac:dyDescent="0.7">
      <c r="A14" t="s">
        <v>136</v>
      </c>
      <c r="B14" t="s">
        <v>137</v>
      </c>
      <c r="C14">
        <v>10000</v>
      </c>
      <c r="K14">
        <v>100</v>
      </c>
      <c r="BC14" t="s">
        <v>145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0A66-8F7B-4F80-A4CB-164331905E98}">
  <dimension ref="A1:BD7"/>
  <sheetViews>
    <sheetView topLeftCell="AL1" workbookViewId="0">
      <selection activeCell="AT7" sqref="AT7"/>
    </sheetView>
  </sheetViews>
  <sheetFormatPr defaultRowHeight="17.649999999999999" x14ac:dyDescent="0.7"/>
  <sheetData>
    <row r="1" spans="1:56" x14ac:dyDescent="0.7">
      <c r="A1" t="s">
        <v>26</v>
      </c>
      <c r="F1" t="s">
        <v>40</v>
      </c>
      <c r="BD1" t="s">
        <v>19</v>
      </c>
    </row>
    <row r="2" spans="1:56" x14ac:dyDescent="0.7">
      <c r="C2" t="s">
        <v>113</v>
      </c>
      <c r="F2" t="s">
        <v>1</v>
      </c>
      <c r="I2" t="s">
        <v>27</v>
      </c>
      <c r="T2" t="s">
        <v>3</v>
      </c>
      <c r="V2" t="s">
        <v>28</v>
      </c>
      <c r="AJ2" t="s">
        <v>48</v>
      </c>
      <c r="BA2" t="s">
        <v>21</v>
      </c>
    </row>
    <row r="3" spans="1:56" x14ac:dyDescent="0.7">
      <c r="D3" t="s">
        <v>71</v>
      </c>
      <c r="L3" t="s">
        <v>98</v>
      </c>
      <c r="V3" t="s">
        <v>36</v>
      </c>
      <c r="X3" t="s">
        <v>47</v>
      </c>
      <c r="AC3" t="s">
        <v>46</v>
      </c>
      <c r="AF3" t="s">
        <v>45</v>
      </c>
      <c r="AH3" t="s">
        <v>44</v>
      </c>
      <c r="AJ3" t="s">
        <v>29</v>
      </c>
      <c r="AN3" t="s">
        <v>49</v>
      </c>
    </row>
    <row r="4" spans="1:56" x14ac:dyDescent="0.7">
      <c r="A4" t="s">
        <v>0</v>
      </c>
      <c r="B4" t="s">
        <v>74</v>
      </c>
      <c r="C4" t="s">
        <v>4</v>
      </c>
      <c r="D4" t="s">
        <v>156</v>
      </c>
      <c r="E4" t="s">
        <v>157</v>
      </c>
      <c r="F4" t="s">
        <v>10</v>
      </c>
      <c r="G4" t="s">
        <v>9</v>
      </c>
      <c r="H4" t="s">
        <v>114</v>
      </c>
      <c r="I4" t="s">
        <v>14</v>
      </c>
      <c r="J4" t="s">
        <v>15</v>
      </c>
      <c r="K4" t="s">
        <v>16</v>
      </c>
      <c r="L4" t="s">
        <v>67</v>
      </c>
      <c r="M4" t="s">
        <v>93</v>
      </c>
      <c r="N4" t="s">
        <v>94</v>
      </c>
      <c r="O4" t="s">
        <v>95</v>
      </c>
      <c r="P4" t="s">
        <v>68</v>
      </c>
      <c r="Q4" t="s">
        <v>96</v>
      </c>
      <c r="R4" t="s">
        <v>24</v>
      </c>
      <c r="S4" t="s">
        <v>2</v>
      </c>
      <c r="T4" t="s">
        <v>3</v>
      </c>
      <c r="U4" t="s">
        <v>13</v>
      </c>
      <c r="V4" t="s">
        <v>30</v>
      </c>
      <c r="W4" t="s">
        <v>31</v>
      </c>
      <c r="X4" t="s">
        <v>32</v>
      </c>
      <c r="Y4" t="s">
        <v>12</v>
      </c>
      <c r="Z4" t="s">
        <v>142</v>
      </c>
      <c r="AA4" t="s">
        <v>143</v>
      </c>
      <c r="AB4" t="s">
        <v>141</v>
      </c>
      <c r="AC4" t="s">
        <v>33</v>
      </c>
      <c r="AD4" t="s">
        <v>35</v>
      </c>
      <c r="AE4" t="s">
        <v>34</v>
      </c>
      <c r="AF4" t="s">
        <v>41</v>
      </c>
      <c r="AG4" t="s">
        <v>17</v>
      </c>
      <c r="AH4" t="s">
        <v>38</v>
      </c>
      <c r="AI4" t="s">
        <v>39</v>
      </c>
      <c r="AJ4" t="s">
        <v>42</v>
      </c>
      <c r="AK4" t="s">
        <v>43</v>
      </c>
      <c r="AL4" t="s">
        <v>25</v>
      </c>
      <c r="AM4" t="s">
        <v>37</v>
      </c>
      <c r="AN4" t="s">
        <v>64</v>
      </c>
      <c r="AO4" t="s">
        <v>54</v>
      </c>
      <c r="AP4" t="s">
        <v>51</v>
      </c>
      <c r="AQ4" t="s">
        <v>52</v>
      </c>
      <c r="AR4" t="s">
        <v>53</v>
      </c>
      <c r="AS4" t="s">
        <v>50</v>
      </c>
      <c r="AT4" t="s">
        <v>55</v>
      </c>
      <c r="AU4" t="s">
        <v>56</v>
      </c>
      <c r="AV4" t="s">
        <v>57</v>
      </c>
      <c r="AW4" t="s">
        <v>58</v>
      </c>
      <c r="AX4" t="s">
        <v>59</v>
      </c>
      <c r="AY4" t="s">
        <v>60</v>
      </c>
      <c r="AZ4" t="s">
        <v>61</v>
      </c>
      <c r="BA4" t="s">
        <v>72</v>
      </c>
      <c r="BB4" t="s">
        <v>63</v>
      </c>
      <c r="BC4" t="s">
        <v>21</v>
      </c>
      <c r="BD4" t="s">
        <v>19</v>
      </c>
    </row>
    <row r="5" spans="1:56" x14ac:dyDescent="0.7">
      <c r="A5" t="s">
        <v>159</v>
      </c>
      <c r="B5" t="s">
        <v>124</v>
      </c>
      <c r="C5">
        <v>3000</v>
      </c>
      <c r="F5">
        <v>900</v>
      </c>
      <c r="G5">
        <f>300*8</f>
        <v>2400</v>
      </c>
      <c r="I5">
        <f>5*4</f>
        <v>20</v>
      </c>
      <c r="K5">
        <f>5*4</f>
        <v>20</v>
      </c>
      <c r="AG5">
        <f>2*4</f>
        <v>8</v>
      </c>
      <c r="BC5" t="s">
        <v>160</v>
      </c>
    </row>
    <row r="6" spans="1:56" x14ac:dyDescent="0.7">
      <c r="A6" t="s">
        <v>161</v>
      </c>
      <c r="B6" t="s">
        <v>124</v>
      </c>
      <c r="C6">
        <v>3000</v>
      </c>
      <c r="F6">
        <v>1280</v>
      </c>
      <c r="BA6">
        <v>40</v>
      </c>
      <c r="BC6" t="s">
        <v>192</v>
      </c>
    </row>
    <row r="7" spans="1:56" x14ac:dyDescent="0.7">
      <c r="A7" t="s">
        <v>162</v>
      </c>
      <c r="B7" t="s">
        <v>124</v>
      </c>
      <c r="C7">
        <v>1600</v>
      </c>
      <c r="F7">
        <v>900</v>
      </c>
      <c r="I7">
        <v>8</v>
      </c>
      <c r="K7">
        <v>8</v>
      </c>
      <c r="S7" t="s">
        <v>97</v>
      </c>
      <c r="T7">
        <v>450</v>
      </c>
      <c r="U7">
        <v>300</v>
      </c>
      <c r="Z7">
        <v>6</v>
      </c>
      <c r="AA7">
        <v>4</v>
      </c>
      <c r="AB7">
        <v>2</v>
      </c>
      <c r="AC7">
        <v>180</v>
      </c>
      <c r="AD7">
        <v>120</v>
      </c>
      <c r="AE7">
        <v>30</v>
      </c>
      <c r="AF7">
        <v>9</v>
      </c>
      <c r="AG7">
        <v>3</v>
      </c>
      <c r="AL7">
        <v>9</v>
      </c>
      <c r="AM7">
        <v>1</v>
      </c>
      <c r="BB7" t="s">
        <v>163</v>
      </c>
      <c r="BC7" t="s">
        <v>164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特別構成商品</vt:lpstr>
      <vt:lpstr>エリーフショップ</vt:lpstr>
      <vt:lpstr>月間パス</vt:lpstr>
      <vt:lpstr>エリーフ商品</vt:lpstr>
      <vt:lpstr>週間パック</vt:lpstr>
      <vt:lpstr>月間パック</vt:lpstr>
      <vt:lpstr>私服・探検パス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佐々木　優輔</dc:creator>
  <cp:lastModifiedBy>佐々木　優輔</cp:lastModifiedBy>
  <dcterms:created xsi:type="dcterms:W3CDTF">2026-09-25T08:40:28Z</dcterms:created>
  <dcterms:modified xsi:type="dcterms:W3CDTF">2026-10-15T09:03:15Z</dcterms:modified>
</cp:coreProperties>
</file>